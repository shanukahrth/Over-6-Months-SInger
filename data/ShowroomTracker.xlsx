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 Tracker" sheetId="1" r:id="rId5"/>
    <sheet state="visible" name="Summary" sheetId="2" r:id="rId6"/>
    <sheet state="visible" name="District Summary" sheetId="3" r:id="rId7"/>
    <sheet state="visible" name="Area Summary" sheetId="4" r:id="rId8"/>
  </sheets>
  <definedNames/>
  <calcPr/>
</workbook>
</file>

<file path=xl/sharedStrings.xml><?xml version="1.0" encoding="utf-8"?>
<sst xmlns="http://schemas.openxmlformats.org/spreadsheetml/2006/main" count="2735" uniqueCount="490">
  <si>
    <t>District</t>
  </si>
  <si>
    <t>Category</t>
  </si>
  <si>
    <t>Area</t>
  </si>
  <si>
    <t>Total</t>
  </si>
  <si>
    <t>Visited</t>
  </si>
  <si>
    <t>Value</t>
  </si>
  <si>
    <t>Pending</t>
  </si>
  <si>
    <t>Total Showrooms</t>
  </si>
  <si>
    <t>AKURESSA</t>
  </si>
  <si>
    <t>MEGA COLOMBO METRO  ZONE</t>
  </si>
  <si>
    <t>Region</t>
  </si>
  <si>
    <t>MEGA NORTH ZONE</t>
  </si>
  <si>
    <t>AMBALANGODA</t>
  </si>
  <si>
    <t>Showroom</t>
  </si>
  <si>
    <t>Store Type</t>
  </si>
  <si>
    <t>% Complete</t>
  </si>
  <si>
    <t>Visit Date</t>
  </si>
  <si>
    <t>MEGA SOUTH ZONE</t>
  </si>
  <si>
    <t>Team Visited</t>
  </si>
  <si>
    <t>Remarks</t>
  </si>
  <si>
    <t>MEGA COLOMBO METRO ZONE-</t>
  </si>
  <si>
    <t>MEGA - SHANGRI-LA</t>
  </si>
  <si>
    <t>Mega</t>
  </si>
  <si>
    <t>No</t>
  </si>
  <si>
    <t>AMPARA</t>
  </si>
  <si>
    <t>NORTH REGION CENTRAL  AREA</t>
  </si>
  <si>
    <t>MEGA -COLPETTY</t>
  </si>
  <si>
    <t>NORTH REGION COLOMBO  AREA NORTH</t>
  </si>
  <si>
    <t>MEGA -HAVELOCK CITY</t>
  </si>
  <si>
    <t>ANURADHAPURA</t>
  </si>
  <si>
    <t>NORTH REGION EAST AREA</t>
  </si>
  <si>
    <t>MEGA -THURSTAN ROAD</t>
  </si>
  <si>
    <t>NORTH REGION NORTH  AREA</t>
  </si>
  <si>
    <t>BADULLA</t>
  </si>
  <si>
    <t>MEGA -WAREHOUSE</t>
  </si>
  <si>
    <t>Warehouse</t>
  </si>
  <si>
    <t>NORTH REGION WAYAMBA  AREA</t>
  </si>
  <si>
    <t>BAMBALAPITIYA</t>
  </si>
  <si>
    <t>MEGA-MILAGIRIYA</t>
  </si>
  <si>
    <t>SOUTH REGION COLOMBO  AREA SOUTH</t>
  </si>
  <si>
    <t>Samsung Smart Things</t>
  </si>
  <si>
    <t>Standard</t>
  </si>
  <si>
    <t>SOUTH REGION COLOMBO METRO  AREA</t>
  </si>
  <si>
    <t>BATTICALOA</t>
  </si>
  <si>
    <t>MEGA NORTH ZONE-</t>
  </si>
  <si>
    <t>MEGA - PELIYAGODA</t>
  </si>
  <si>
    <t>SOUTH REGION SABARAGAMUWA   AREA</t>
  </si>
  <si>
    <t>MEGA -JA-ELA</t>
  </si>
  <si>
    <t>BORELLA</t>
  </si>
  <si>
    <t>MEGA -KADUWELA</t>
  </si>
  <si>
    <t>SOUTH REGION SOUTH  AREA</t>
  </si>
  <si>
    <t>MEGA -KURUNAGALA</t>
  </si>
  <si>
    <t>CHILAW</t>
  </si>
  <si>
    <t>MEGA -MALABE</t>
  </si>
  <si>
    <t>SOUTH REGION UVA  AREA</t>
  </si>
  <si>
    <t>MEGA-GAMPAHA</t>
  </si>
  <si>
    <t>DAMBULLA</t>
  </si>
  <si>
    <t>MEGA-KANDY</t>
  </si>
  <si>
    <t>MEGA-KANDY B</t>
  </si>
  <si>
    <t>DIGANA</t>
  </si>
  <si>
    <t>MEGA-KIRIBATHGODA</t>
  </si>
  <si>
    <t>MEGA-NEGOMBO</t>
  </si>
  <si>
    <t>MEGA-WATTALA</t>
  </si>
  <si>
    <t>EMBILIPITIYA</t>
  </si>
  <si>
    <t>SHOMES-KOTTE</t>
  </si>
  <si>
    <t>Singer Homes</t>
  </si>
  <si>
    <t>SINGER HOMES-NEGOMBO</t>
  </si>
  <si>
    <t>GALLE</t>
  </si>
  <si>
    <t>MEGA SOUTH ZONE-</t>
  </si>
  <si>
    <t>MEGA - NUGEGODA B</t>
  </si>
  <si>
    <t>MEGA -BEKO &amp; SONY</t>
  </si>
  <si>
    <t>MEGA -BORALASGAMUWA</t>
  </si>
  <si>
    <t>GAMPOLA</t>
  </si>
  <si>
    <t>MEGA -KALUTARA</t>
  </si>
  <si>
    <t>MEGA -KATUBEDDA</t>
  </si>
  <si>
    <t>HAMBANTOTA</t>
  </si>
  <si>
    <t>MEGA -KOTTAWA</t>
  </si>
  <si>
    <t>MEGA -PANADURA</t>
  </si>
  <si>
    <t>JAFFNA</t>
  </si>
  <si>
    <t>MEGA -THALAWATHUGODA</t>
  </si>
  <si>
    <t>MEGA-MAHARAGAMA</t>
  </si>
  <si>
    <t>KADAWATHA</t>
  </si>
  <si>
    <t>MEGA-MATARA</t>
  </si>
  <si>
    <t>Yes</t>
  </si>
  <si>
    <t>28.07.2026</t>
  </si>
  <si>
    <t xml:space="preserve">Digital </t>
  </si>
  <si>
    <t>KADUWELA</t>
  </si>
  <si>
    <t>MEGA-MOUNT LAVINIA</t>
  </si>
  <si>
    <t>MEGA-NUGEGODA</t>
  </si>
  <si>
    <t>KALUTARA</t>
  </si>
  <si>
    <t>MEGA-RAJAGIRIYA</t>
  </si>
  <si>
    <t>SHOMES-RATHMALANA</t>
  </si>
  <si>
    <t>KANDY</t>
  </si>
  <si>
    <t>BUDGET SHOP-K-GTOTA</t>
  </si>
  <si>
    <t>Budget Shop</t>
  </si>
  <si>
    <t>KEGALLE</t>
  </si>
  <si>
    <t>DIGANA - B</t>
  </si>
  <si>
    <t>KURUNEGALA</t>
  </si>
  <si>
    <t>GALAGEDARA</t>
  </si>
  <si>
    <t>KATUGASTOTA</t>
  </si>
  <si>
    <t>MAHARAGAMA</t>
  </si>
  <si>
    <t>KATUGASTOTA - B</t>
  </si>
  <si>
    <t>KUNDASALE</t>
  </si>
  <si>
    <t>MAHIYANGANA</t>
  </si>
  <si>
    <t>MENIKHINNA</t>
  </si>
  <si>
    <t>POOJAPITIYA</t>
  </si>
  <si>
    <t>MATALE</t>
  </si>
  <si>
    <t>RIKILLAGASKADA</t>
  </si>
  <si>
    <t>UDUDUMBARA</t>
  </si>
  <si>
    <t>MATARA</t>
  </si>
  <si>
    <t>WATTEGAMA</t>
  </si>
  <si>
    <t>MEDAWACHCHIYA</t>
  </si>
  <si>
    <t>GAMPOLA - C</t>
  </si>
  <si>
    <t>GAMPOLA B</t>
  </si>
  <si>
    <t>GINIGATHHENA</t>
  </si>
  <si>
    <t>HATTON</t>
  </si>
  <si>
    <t>NAWALAPITIYA</t>
  </si>
  <si>
    <t>NUWARAELIYA A</t>
  </si>
  <si>
    <t>NUWARAELIYA-B</t>
  </si>
  <si>
    <t>MONARAGALA</t>
  </si>
  <si>
    <t>PUSSELLAWA</t>
  </si>
  <si>
    <t>THALAWAKELLE</t>
  </si>
  <si>
    <t>NEGOMBO</t>
  </si>
  <si>
    <t>WALAPANE</t>
  </si>
  <si>
    <t>NIKAWARATIYA</t>
  </si>
  <si>
    <t>DIPPITIYA</t>
  </si>
  <si>
    <t>GALAHA</t>
  </si>
  <si>
    <t>NITTAMBUWA</t>
  </si>
  <si>
    <t>GELIOYA</t>
  </si>
  <si>
    <t>HEMMATHAGAMA</t>
  </si>
  <si>
    <t>PANADURA</t>
  </si>
  <si>
    <t>KADUGANNAWA</t>
  </si>
  <si>
    <t>PELIYAGODA</t>
  </si>
  <si>
    <t>KANDY - B</t>
  </si>
  <si>
    <t>MAWANELLA</t>
  </si>
  <si>
    <t>POLONNARUWA</t>
  </si>
  <si>
    <t>MAWANELLA - B</t>
  </si>
  <si>
    <t>RATHNAPURA</t>
  </si>
  <si>
    <t>PERADENIYA</t>
  </si>
  <si>
    <t>PILIMATHALAWA</t>
  </si>
  <si>
    <t>VAVUNIYA</t>
  </si>
  <si>
    <t>PILIMATHALAWA - B</t>
  </si>
  <si>
    <t>SHOMES- KANDY</t>
  </si>
  <si>
    <t>DOMPE</t>
  </si>
  <si>
    <t>GAMPAHA</t>
  </si>
  <si>
    <t>GANEMULLA</t>
  </si>
  <si>
    <t>KADAWATHA A</t>
  </si>
  <si>
    <t>KADAWATHA B</t>
  </si>
  <si>
    <t>MAWARAMANDIYA</t>
  </si>
  <si>
    <t>PUGODA</t>
  </si>
  <si>
    <t>SHOMES-KADAWATHA</t>
  </si>
  <si>
    <t>WELIVERIYA</t>
  </si>
  <si>
    <t>YAKKALA</t>
  </si>
  <si>
    <t>DANKOTUWA</t>
  </si>
  <si>
    <t>DIVULAPITIYA</t>
  </si>
  <si>
    <t>GIRIULLA</t>
  </si>
  <si>
    <t>KATANA</t>
  </si>
  <si>
    <t>KOCHCHIKADE</t>
  </si>
  <si>
    <t>MARADAGAHAMULLA</t>
  </si>
  <si>
    <t>NEGOMBO - C</t>
  </si>
  <si>
    <t>PANNALA</t>
  </si>
  <si>
    <t>SEEDUWA</t>
  </si>
  <si>
    <t>SHOMES-NEGOMBO</t>
  </si>
  <si>
    <t>ALAWWA</t>
  </si>
  <si>
    <t>KIRINDIWELA</t>
  </si>
  <si>
    <t>KIRINDIWELA - B</t>
  </si>
  <si>
    <t>MIRIGAMA</t>
  </si>
  <si>
    <t>MIRIGAMA - B</t>
  </si>
  <si>
    <t>NITTAMBUWA - B</t>
  </si>
  <si>
    <t>PASYALA</t>
  </si>
  <si>
    <t>VEYANGODA</t>
  </si>
  <si>
    <t>VEYANGODA - B</t>
  </si>
  <si>
    <t>WARAKAPOLA</t>
  </si>
  <si>
    <t>WARAKAPOLA - B</t>
  </si>
  <si>
    <t>BOPITIYA</t>
  </si>
  <si>
    <t>JA ELA - B</t>
  </si>
  <si>
    <t>JA-ELA</t>
  </si>
  <si>
    <t>KANDANA</t>
  </si>
  <si>
    <t>KELANIYA  -LITE</t>
  </si>
  <si>
    <t>Lite</t>
  </si>
  <si>
    <t>KIRIBATHGODA - C</t>
  </si>
  <si>
    <t>KIRIBATHGODA B</t>
  </si>
  <si>
    <t>MINUWANGODA</t>
  </si>
  <si>
    <t>MINUWANGODA - B</t>
  </si>
  <si>
    <t>RAGAMA</t>
  </si>
  <si>
    <t>WATTALA</t>
  </si>
  <si>
    <t>AMPARA - C</t>
  </si>
  <si>
    <t>AKKARAIPATTU</t>
  </si>
  <si>
    <t>HINGURANA</t>
  </si>
  <si>
    <t>KALMUNAI</t>
  </si>
  <si>
    <t>KALMUNAI B</t>
  </si>
  <si>
    <t>POLWATTA</t>
  </si>
  <si>
    <t>UHANA</t>
  </si>
  <si>
    <t>BATTICALOA B</t>
  </si>
  <si>
    <t>CHENKALADY</t>
  </si>
  <si>
    <t>KALAWANCHIKUDY</t>
  </si>
  <si>
    <t>KATTANKUDY</t>
  </si>
  <si>
    <t>KOKKADICHOLAI</t>
  </si>
  <si>
    <t>SAMANTHURAI</t>
  </si>
  <si>
    <t>VALAICHENAI</t>
  </si>
  <si>
    <t>BAKAMOONA</t>
  </si>
  <si>
    <t>BUDGET SHOP-DAMBULLA</t>
  </si>
  <si>
    <t>HABARANA</t>
  </si>
  <si>
    <t>KANTALAI</t>
  </si>
  <si>
    <t>KEKIRAWA</t>
  </si>
  <si>
    <t>KEKIRAWA - B</t>
  </si>
  <si>
    <t>KINNIYA</t>
  </si>
  <si>
    <t>MUTUR</t>
  </si>
  <si>
    <t>TRINCOMALEE</t>
  </si>
  <si>
    <t>TRINCOMALEE B</t>
  </si>
  <si>
    <t>ARALAGANWILA</t>
  </si>
  <si>
    <t>DIYABEDUMA</t>
  </si>
  <si>
    <t>DIYASENAPURA</t>
  </si>
  <si>
    <t>HINGURAKGODA</t>
  </si>
  <si>
    <t>JAYANTHIPURA</t>
  </si>
  <si>
    <t>KADURUWELA</t>
  </si>
  <si>
    <t>KADURUWELA B</t>
  </si>
  <si>
    <t>MEDIRIGIRIYA</t>
  </si>
  <si>
    <t>WELIKANDA</t>
  </si>
  <si>
    <t>ANURADHAPURA A</t>
  </si>
  <si>
    <t>22.07.2026</t>
  </si>
  <si>
    <t xml:space="preserve">Digital / K/ Appalince Team </t>
  </si>
  <si>
    <t>ANURADHAPURA B</t>
  </si>
  <si>
    <t>23.07.2026</t>
  </si>
  <si>
    <t>ANURADHAPURA C</t>
  </si>
  <si>
    <t xml:space="preserve"> K/ Appalince Team </t>
  </si>
  <si>
    <t>EPPAWELA</t>
  </si>
  <si>
    <t>GALGAMUWA</t>
  </si>
  <si>
    <t>GALNEWA</t>
  </si>
  <si>
    <t>NOCHCHIYAGAMA</t>
  </si>
  <si>
    <t>SHOMES- ANURADHAPURA</t>
  </si>
  <si>
    <t xml:space="preserve">Digital /  K/ Appalince Team </t>
  </si>
  <si>
    <t>THALAWA</t>
  </si>
  <si>
    <t>THAMBUTTEGAMA</t>
  </si>
  <si>
    <t>WILACHCHIYA</t>
  </si>
  <si>
    <t>CHANKANI</t>
  </si>
  <si>
    <t>CHAVAKACHCHERI</t>
  </si>
  <si>
    <t xml:space="preserve">K/ Appalince Team </t>
  </si>
  <si>
    <t>CHUNNAKAM - B</t>
  </si>
  <si>
    <t>JAFFNA PANNAI BRANCH</t>
  </si>
  <si>
    <t>JAFFNA-HOSPITAL ROAD</t>
  </si>
  <si>
    <t>KODIKAMAM</t>
  </si>
  <si>
    <t>MANIPAY</t>
  </si>
  <si>
    <t>NELLIADY</t>
  </si>
  <si>
    <t>POINT PEDRO</t>
  </si>
  <si>
    <t>GALENBIDUNUWEWA</t>
  </si>
  <si>
    <t>GOMARANKADAWALA</t>
  </si>
  <si>
    <t>HOROWPATHANA</t>
  </si>
  <si>
    <t>KAHATAGASDIGILIYA</t>
  </si>
  <si>
    <t>KEBITHIGOLLEWA</t>
  </si>
  <si>
    <t>PARAKRAMAPURA</t>
  </si>
  <si>
    <t>RAMBEWA</t>
  </si>
  <si>
    <t>SETTIKULAM</t>
  </si>
  <si>
    <t>THIRAPPANE</t>
  </si>
  <si>
    <t>KILINOCHCHI</t>
  </si>
  <si>
    <t>KILINOCHCHI - B</t>
  </si>
  <si>
    <t>MALLAVI</t>
  </si>
  <si>
    <t>MANNAR</t>
  </si>
  <si>
    <t>MULLAITIVU</t>
  </si>
  <si>
    <t>MURUNKAN</t>
  </si>
  <si>
    <t>PALLAI</t>
  </si>
  <si>
    <t>PUTHUKKUDIYIRUPPU</t>
  </si>
  <si>
    <t>VAVUNIYA - B</t>
  </si>
  <si>
    <t>ARACHCHIKATTUWA-LITE</t>
  </si>
  <si>
    <t>BINGIRIYA</t>
  </si>
  <si>
    <t>DUMMALASURIYA</t>
  </si>
  <si>
    <t>HETTIPOLA</t>
  </si>
  <si>
    <t>KULIYAPITIYA</t>
  </si>
  <si>
    <t>KULIYAPITIYA - B</t>
  </si>
  <si>
    <t>MAHAWEWA-LITE</t>
  </si>
  <si>
    <t>NATTANDIYA</t>
  </si>
  <si>
    <t>NOROCHCHOLAI</t>
  </si>
  <si>
    <t>PUTTALAM</t>
  </si>
  <si>
    <t>SHOMES- CHILAW</t>
  </si>
  <si>
    <t>WENNAPPUWA</t>
  </si>
  <si>
    <t>HATHARALIYADDA-LITE</t>
  </si>
  <si>
    <t>IBBAGAMUWA</t>
  </si>
  <si>
    <t>KURUNEGALA - D</t>
  </si>
  <si>
    <t>KURUNEGALA B</t>
  </si>
  <si>
    <t>KURUNEGALA C</t>
  </si>
  <si>
    <t>MAWATHAGAMA</t>
  </si>
  <si>
    <t>NARAMMALA</t>
  </si>
  <si>
    <t>NARAMMALA - B</t>
  </si>
  <si>
    <t>POTHUHARA</t>
  </si>
  <si>
    <t>RAMBUKKANA</t>
  </si>
  <si>
    <t>RIDEEGAMA</t>
  </si>
  <si>
    <t>AKURANA</t>
  </si>
  <si>
    <t>ALAWATHUGODA</t>
  </si>
  <si>
    <t>GALEWELA</t>
  </si>
  <si>
    <t>MATALE - B</t>
  </si>
  <si>
    <t>MELSIRIPURA</t>
  </si>
  <si>
    <t>NAULA</t>
  </si>
  <si>
    <t>PALLEPOLA</t>
  </si>
  <si>
    <t>RATTOTA</t>
  </si>
  <si>
    <t>SHOMES- MATALE</t>
  </si>
  <si>
    <t>UKUWELA  -LITE</t>
  </si>
  <si>
    <t>YATAWATTE</t>
  </si>
  <si>
    <t>ABANPOLA</t>
  </si>
  <si>
    <t>ANAMADUWA</t>
  </si>
  <si>
    <t>HIRIPITIYA</t>
  </si>
  <si>
    <t>KATUPOTHA</t>
  </si>
  <si>
    <t>KOBEIGANE</t>
  </si>
  <si>
    <t>MAHO</t>
  </si>
  <si>
    <t>NIKAWARATIYA - B</t>
  </si>
  <si>
    <t>NIKAWERATIYA</t>
  </si>
  <si>
    <t>POLPITHIGAMA</t>
  </si>
  <si>
    <t>WARIYAPOLA</t>
  </si>
  <si>
    <t>WELLAWA - LITE</t>
  </si>
  <si>
    <t>ALUTHGAMA</t>
  </si>
  <si>
    <t>BATAPOLA-LITE</t>
  </si>
  <si>
    <t>BERUWELA SHOP</t>
  </si>
  <si>
    <t>DARGA TOWN</t>
  </si>
  <si>
    <t>ELPITIYA</t>
  </si>
  <si>
    <t>HIKKADUWA</t>
  </si>
  <si>
    <t>KARANDENIYA</t>
  </si>
  <si>
    <t>PITIGALA</t>
  </si>
  <si>
    <t>THALGASWALA</t>
  </si>
  <si>
    <t>AGALAWATTA</t>
  </si>
  <si>
    <t>BADURALIYA</t>
  </si>
  <si>
    <t>BANDARAGAMA</t>
  </si>
  <si>
    <t>CE Team</t>
  </si>
  <si>
    <t>BUDGET SHOP-HORANA</t>
  </si>
  <si>
    <t>BULATHSINGHALA</t>
  </si>
  <si>
    <t>HORANA</t>
  </si>
  <si>
    <t>INGIRIYA</t>
  </si>
  <si>
    <t>KALUTARA A</t>
  </si>
  <si>
    <t>MATHUGAMA</t>
  </si>
  <si>
    <t>MATUGAMA - B</t>
  </si>
  <si>
    <t>PELAWATTA-MATU</t>
  </si>
  <si>
    <t>SHOMES-KALUTARA</t>
  </si>
  <si>
    <t>WADDUWA</t>
  </si>
  <si>
    <t>ATTIDIYA</t>
  </si>
  <si>
    <t>BUDGET SHOP-MORATUWA</t>
  </si>
  <si>
    <t>KATUBEDDA</t>
  </si>
  <si>
    <t>KESBEWA</t>
  </si>
  <si>
    <t>MORATUWA</t>
  </si>
  <si>
    <t>MORATUWA - B</t>
  </si>
  <si>
    <t>PANADURA - B</t>
  </si>
  <si>
    <t>PILIYANDALA</t>
  </si>
  <si>
    <t>PILIYANDALA  B</t>
  </si>
  <si>
    <t>RATHMALANA</t>
  </si>
  <si>
    <t>TAILG-MORATUWA</t>
  </si>
  <si>
    <t>COLPETTY</t>
  </si>
  <si>
    <t>DEHIWELA</t>
  </si>
  <si>
    <t>KOTAHENA</t>
  </si>
  <si>
    <t>MATTAKKULIYA</t>
  </si>
  <si>
    <t>THIMBIRIGASYAYA</t>
  </si>
  <si>
    <t>UNION PLACE</t>
  </si>
  <si>
    <t>UNION PLACE - B</t>
  </si>
  <si>
    <t>WARD PLACE</t>
  </si>
  <si>
    <t>WELLAWATTA</t>
  </si>
  <si>
    <t>BORALESGAMUWA</t>
  </si>
  <si>
    <t>BORELLA C</t>
  </si>
  <si>
    <t>BUDGET-SHOP -BORELLA</t>
  </si>
  <si>
    <t>BUDGET-SHOP UDAHAMUL</t>
  </si>
  <si>
    <t>DELKANDA</t>
  </si>
  <si>
    <t>KOHUWELA</t>
  </si>
  <si>
    <t>MARADANA</t>
  </si>
  <si>
    <t>NAWALA</t>
  </si>
  <si>
    <t>NUGEGODA</t>
  </si>
  <si>
    <t>PITA-KOTTE</t>
  </si>
  <si>
    <t>WELLAMPITIYA</t>
  </si>
  <si>
    <t>AKUREGODA - SLAF</t>
  </si>
  <si>
    <t>ANGODA</t>
  </si>
  <si>
    <t>ATHURUGIRIYA</t>
  </si>
  <si>
    <t>BATTARAMULLA</t>
  </si>
  <si>
    <t>DELGODA</t>
  </si>
  <si>
    <t>GOTHATUWA</t>
  </si>
  <si>
    <t>KADUWELA -  B</t>
  </si>
  <si>
    <t>MALABE</t>
  </si>
  <si>
    <t>PELAWATTA</t>
  </si>
  <si>
    <t>THALAWATHUGODA</t>
  </si>
  <si>
    <t>AVISSAWELLA</t>
  </si>
  <si>
    <t>AVISSAWELLA - B</t>
  </si>
  <si>
    <t>HANWELLA</t>
  </si>
  <si>
    <t>HOMAGAMA</t>
  </si>
  <si>
    <t>HOMAGAMA - B</t>
  </si>
  <si>
    <t>KOSGAMA</t>
  </si>
  <si>
    <t>KOTTAWA</t>
  </si>
  <si>
    <t>MAHARAGAMA B</t>
  </si>
  <si>
    <t>MORAGAHAHENA</t>
  </si>
  <si>
    <t>PADUKKA</t>
  </si>
  <si>
    <t>SHOMES- GODAGAMA</t>
  </si>
  <si>
    <t>BALANGODA</t>
  </si>
  <si>
    <t>BALANGODA - B</t>
  </si>
  <si>
    <t>BALANGODA C</t>
  </si>
  <si>
    <t>EMBILIPITI NEW  TOWN</t>
  </si>
  <si>
    <t>GODAKAWELA</t>
  </si>
  <si>
    <t>KAHAWATTA</t>
  </si>
  <si>
    <t>KAHAWATTA - B</t>
  </si>
  <si>
    <t>KOLONNE</t>
  </si>
  <si>
    <t>PABAHINNA-LITE</t>
  </si>
  <si>
    <t>PALLEBEDDA</t>
  </si>
  <si>
    <t>PELMADULLA</t>
  </si>
  <si>
    <t>PELMADULLA - B</t>
  </si>
  <si>
    <t>RAKWANA</t>
  </si>
  <si>
    <t>BULATHKOHUPITIYA</t>
  </si>
  <si>
    <t>DEHIOWITA</t>
  </si>
  <si>
    <t>DERANIYAGALA</t>
  </si>
  <si>
    <t>HETTIMULLA LITE</t>
  </si>
  <si>
    <t>KEGALLE - C</t>
  </si>
  <si>
    <t>KEGALLE B</t>
  </si>
  <si>
    <t>KOTIYAKUMBURA</t>
  </si>
  <si>
    <t>NELUNDENIYA-LITE</t>
  </si>
  <si>
    <t>POLGAHAWELA</t>
  </si>
  <si>
    <t>RUWANWELLA</t>
  </si>
  <si>
    <t>SHOMES-KEGALLE</t>
  </si>
  <si>
    <t>YATIYANTHOTA</t>
  </si>
  <si>
    <t>BUDGET SHOP-E-GODA</t>
  </si>
  <si>
    <t>EHELIYAGODA</t>
  </si>
  <si>
    <t>EHELIYAGODA - B</t>
  </si>
  <si>
    <t>KALAWANA</t>
  </si>
  <si>
    <t>KIRIELLA</t>
  </si>
  <si>
    <t>KURUWITA</t>
  </si>
  <si>
    <t>NIVITHIGALA</t>
  </si>
  <si>
    <t>RATHNAPURA - C</t>
  </si>
  <si>
    <t>CE</t>
  </si>
  <si>
    <t>RATHNAPURA A</t>
  </si>
  <si>
    <t>RATHNAPURA B</t>
  </si>
  <si>
    <t>SHOMES-RATHNAPURA</t>
  </si>
  <si>
    <t>AKURESSA - B</t>
  </si>
  <si>
    <t>DENIYAYA</t>
  </si>
  <si>
    <t>IMADUWA</t>
  </si>
  <si>
    <t>KAMBURUPITIYA</t>
  </si>
  <si>
    <t>MORAWAKA</t>
  </si>
  <si>
    <t>NELUWA</t>
  </si>
  <si>
    <t>PITABEDDARA</t>
  </si>
  <si>
    <t>URUBOKKA</t>
  </si>
  <si>
    <t>AHANGAMA</t>
  </si>
  <si>
    <t>BADDEGAMA</t>
  </si>
  <si>
    <t>GALLE - C</t>
  </si>
  <si>
    <t>GALLE B</t>
  </si>
  <si>
    <t>GALLE-A</t>
  </si>
  <si>
    <t>HABARADUWA</t>
  </si>
  <si>
    <t>KARAPITIYA</t>
  </si>
  <si>
    <t>PINNADUWA</t>
  </si>
  <si>
    <t>WANDURAMBA</t>
  </si>
  <si>
    <t>WELIGAMA</t>
  </si>
  <si>
    <t>AMBALANTHOTA - B</t>
  </si>
  <si>
    <t>AMBALANTOTA</t>
  </si>
  <si>
    <t>ANGUNAKOLAPELESSA</t>
  </si>
  <si>
    <t>KATARAGAMA</t>
  </si>
  <si>
    <t>MIDDENIYA</t>
  </si>
  <si>
    <t>SURIYAWEWA</t>
  </si>
  <si>
    <t>THANAMALWILA</t>
  </si>
  <si>
    <t>TISSAMAHARAMA</t>
  </si>
  <si>
    <t>TISSAMAHARAMA - B</t>
  </si>
  <si>
    <t>BELIATTA</t>
  </si>
  <si>
    <t>DICKWELLA</t>
  </si>
  <si>
    <t>DICKWELLA - B</t>
  </si>
  <si>
    <t>HAKMANA</t>
  </si>
  <si>
    <t>ISSADEEN  TOWN</t>
  </si>
  <si>
    <t>MATARA-A</t>
  </si>
  <si>
    <t>MATARA-B</t>
  </si>
  <si>
    <t>SHOMES-MATARA</t>
  </si>
  <si>
    <t>TANGALLE</t>
  </si>
  <si>
    <t>WALASMULLA</t>
  </si>
  <si>
    <t>WEERAKETIYA</t>
  </si>
  <si>
    <t>BADULLA - C</t>
  </si>
  <si>
    <t>BADULLA B</t>
  </si>
  <si>
    <t>BANDARAWELA</t>
  </si>
  <si>
    <t>BANDARAWELA B</t>
  </si>
  <si>
    <t>BANDARAWELA -C</t>
  </si>
  <si>
    <t>BORALANDA LITE</t>
  </si>
  <si>
    <t>DIYATHALAWA</t>
  </si>
  <si>
    <t>ETTAMPITIYA</t>
  </si>
  <si>
    <t>HALDUMMULLA</t>
  </si>
  <si>
    <t>HALI-ELA</t>
  </si>
  <si>
    <t>HAPUTHALE</t>
  </si>
  <si>
    <t>SHOMES-BADULLA</t>
  </si>
  <si>
    <t>WELIMADA - B</t>
  </si>
  <si>
    <t>WELIMADA A</t>
  </si>
  <si>
    <t>BIBILE</t>
  </si>
  <si>
    <t>DEHIATTAKANDIYA</t>
  </si>
  <si>
    <t>GIRANDURUKOTTE</t>
  </si>
  <si>
    <t>MAHIYANGANA - B</t>
  </si>
  <si>
    <t>MEEGAHAKIULA</t>
  </si>
  <si>
    <t>NAWA MEDAGAMA</t>
  </si>
  <si>
    <t>PADIYATHALAWA</t>
  </si>
  <si>
    <t>SIRIPURA-LITE</t>
  </si>
  <si>
    <t>WILGAMUWA</t>
  </si>
  <si>
    <t>BADALKUMBURA</t>
  </si>
  <si>
    <t>BUTTALA</t>
  </si>
  <si>
    <t>LUNUGALA -LITE</t>
  </si>
  <si>
    <t>MEDAGAMA</t>
  </si>
  <si>
    <t>MONARAGALA - B</t>
  </si>
  <si>
    <t>PASSARA</t>
  </si>
  <si>
    <t>POTHUVIL</t>
  </si>
  <si>
    <t>SIYAMBALANDUWA</t>
  </si>
  <si>
    <t>WELLAWAYA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</si>
</sst>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>
      <b/>
      <color theme="1"/>
      <name val="Calibri"/>
      <scheme val="minor"/>
    </font>
    <font>
      <sz val="16.0"/>
      <color theme="1"/>
      <name val="Calibri"/>
      <scheme val="minor"/>
    </font>
    <font>
      <b/>
      <sz val="11.0"/>
      <color rgb="FFFFFFFF"/>
      <name val="Calibri"/>
    </font>
    <font>
      <sz val="16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2" fillId="2" fontId="5" numFmtId="0" xfId="0" applyBorder="1" applyFill="1" applyFont="1"/>
    <xf borderId="2" fillId="3" fontId="5" numFmtId="0" xfId="0" applyBorder="1" applyFill="1" applyFont="1"/>
    <xf borderId="0" fillId="0" fontId="1" numFmtId="0" xfId="0" applyFont="1"/>
    <xf borderId="1" fillId="0" fontId="6" numFmtId="9" xfId="0" applyAlignment="1" applyBorder="1" applyFont="1" applyNumberFormat="1">
      <alignment horizontal="center"/>
    </xf>
    <xf borderId="0" fillId="3" fontId="1" numFmtId="0" xfId="0" applyFont="1"/>
    <xf borderId="0" fillId="0" fontId="7" numFmtId="164" xfId="0" applyFont="1" applyNumberFormat="1"/>
    <xf borderId="0" fillId="3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Visit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32" displayName="Table_1" name="Table_1" id="1">
  <tableColumns count="9">
    <tableColumn name="Region" id="1"/>
    <tableColumn name="Area" id="2"/>
    <tableColumn name="District" id="3"/>
    <tableColumn name="Showroom" id="4"/>
    <tableColumn name="Store Type" id="5"/>
    <tableColumn name="Visited" id="6"/>
    <tableColumn name="Visit Date" id="7"/>
    <tableColumn name="Team Visited" id="8"/>
    <tableColumn name="Remarks" id="9"/>
  </tableColumns>
  <tableStyleInfo name="Visi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0"/>
    <col customWidth="1" min="4" max="4" width="22.86"/>
    <col customWidth="1" min="5" max="7" width="20.0"/>
    <col customWidth="1" min="8" max="8" width="24.57"/>
    <col customWidth="1" min="9" max="9" width="30.29"/>
    <col customWidth="1" min="10" max="26" width="8.71"/>
  </cols>
  <sheetData>
    <row r="1" ht="14.25" customHeight="1">
      <c r="A1" s="5" t="s">
        <v>10</v>
      </c>
      <c r="B1" s="5" t="s">
        <v>2</v>
      </c>
      <c r="C1" s="5" t="s">
        <v>0</v>
      </c>
      <c r="D1" s="5" t="s">
        <v>13</v>
      </c>
      <c r="E1" s="5" t="s">
        <v>14</v>
      </c>
      <c r="F1" s="6" t="s">
        <v>4</v>
      </c>
      <c r="G1" s="5" t="s">
        <v>16</v>
      </c>
      <c r="H1" s="5" t="s">
        <v>18</v>
      </c>
      <c r="I1" s="5" t="s">
        <v>19</v>
      </c>
    </row>
    <row r="2" ht="14.25" customHeight="1">
      <c r="A2" s="7" t="s">
        <v>9</v>
      </c>
      <c r="B2" s="7" t="s">
        <v>9</v>
      </c>
      <c r="C2" s="7" t="s">
        <v>20</v>
      </c>
      <c r="D2" s="7" t="s">
        <v>21</v>
      </c>
      <c r="E2" s="7" t="s">
        <v>22</v>
      </c>
      <c r="F2" s="9" t="s">
        <v>23</v>
      </c>
      <c r="G2" s="10"/>
      <c r="H2" s="7"/>
      <c r="I2" s="7"/>
    </row>
    <row r="3" ht="14.25" customHeight="1">
      <c r="A3" s="7" t="s">
        <v>9</v>
      </c>
      <c r="B3" s="7" t="s">
        <v>9</v>
      </c>
      <c r="C3" s="7" t="s">
        <v>20</v>
      </c>
      <c r="D3" s="7" t="s">
        <v>26</v>
      </c>
      <c r="E3" s="7" t="s">
        <v>22</v>
      </c>
      <c r="F3" s="9" t="s">
        <v>23</v>
      </c>
      <c r="G3" s="10"/>
      <c r="H3" s="7"/>
      <c r="I3" s="7"/>
    </row>
    <row r="4" ht="14.25" customHeight="1">
      <c r="A4" s="7" t="s">
        <v>9</v>
      </c>
      <c r="B4" s="7" t="s">
        <v>9</v>
      </c>
      <c r="C4" s="7" t="s">
        <v>20</v>
      </c>
      <c r="D4" s="7" t="s">
        <v>28</v>
      </c>
      <c r="E4" s="7" t="s">
        <v>22</v>
      </c>
      <c r="F4" s="9" t="s">
        <v>23</v>
      </c>
      <c r="G4" s="10"/>
      <c r="H4" s="7"/>
      <c r="I4" s="7"/>
    </row>
    <row r="5" ht="14.25" customHeight="1">
      <c r="A5" s="7" t="s">
        <v>9</v>
      </c>
      <c r="B5" s="7" t="s">
        <v>9</v>
      </c>
      <c r="C5" s="7" t="s">
        <v>20</v>
      </c>
      <c r="D5" s="7" t="s">
        <v>31</v>
      </c>
      <c r="E5" s="7" t="s">
        <v>22</v>
      </c>
      <c r="F5" s="9" t="s">
        <v>23</v>
      </c>
      <c r="G5" s="10"/>
      <c r="H5" s="7"/>
      <c r="I5" s="7"/>
    </row>
    <row r="6" ht="14.25" customHeight="1">
      <c r="A6" s="7" t="s">
        <v>9</v>
      </c>
      <c r="B6" s="7" t="s">
        <v>9</v>
      </c>
      <c r="C6" s="7" t="s">
        <v>20</v>
      </c>
      <c r="D6" s="7" t="s">
        <v>34</v>
      </c>
      <c r="E6" s="7" t="s">
        <v>35</v>
      </c>
      <c r="F6" s="9" t="s">
        <v>23</v>
      </c>
      <c r="G6" s="10"/>
      <c r="H6" s="7"/>
      <c r="I6" s="7"/>
    </row>
    <row r="7" ht="14.25" customHeight="1">
      <c r="A7" s="7" t="s">
        <v>9</v>
      </c>
      <c r="B7" s="7" t="s">
        <v>9</v>
      </c>
      <c r="C7" s="7" t="s">
        <v>20</v>
      </c>
      <c r="D7" s="7" t="s">
        <v>38</v>
      </c>
      <c r="E7" s="7" t="s">
        <v>22</v>
      </c>
      <c r="F7" s="9" t="s">
        <v>23</v>
      </c>
      <c r="G7" s="10"/>
      <c r="H7" s="7"/>
      <c r="I7" s="7"/>
    </row>
    <row r="8" ht="14.25" customHeight="1">
      <c r="A8" s="7" t="s">
        <v>9</v>
      </c>
      <c r="B8" s="7" t="s">
        <v>9</v>
      </c>
      <c r="C8" s="7" t="s">
        <v>20</v>
      </c>
      <c r="D8" s="7" t="s">
        <v>40</v>
      </c>
      <c r="E8" s="7" t="s">
        <v>41</v>
      </c>
      <c r="F8" s="9" t="s">
        <v>23</v>
      </c>
      <c r="G8" s="10"/>
      <c r="H8" s="7"/>
      <c r="I8" s="7"/>
    </row>
    <row r="9" ht="14.25" customHeight="1">
      <c r="A9" s="7" t="s">
        <v>11</v>
      </c>
      <c r="B9" s="7" t="s">
        <v>11</v>
      </c>
      <c r="C9" s="7" t="s">
        <v>44</v>
      </c>
      <c r="D9" s="7" t="s">
        <v>45</v>
      </c>
      <c r="E9" s="7" t="s">
        <v>22</v>
      </c>
      <c r="F9" s="9" t="s">
        <v>23</v>
      </c>
      <c r="G9" s="10"/>
      <c r="H9" s="7"/>
      <c r="I9" s="7"/>
    </row>
    <row r="10" ht="14.25" customHeight="1">
      <c r="A10" s="7" t="s">
        <v>11</v>
      </c>
      <c r="B10" s="7" t="s">
        <v>11</v>
      </c>
      <c r="C10" s="7" t="s">
        <v>44</v>
      </c>
      <c r="D10" s="7" t="s">
        <v>47</v>
      </c>
      <c r="E10" s="7" t="s">
        <v>22</v>
      </c>
      <c r="F10" s="9" t="s">
        <v>23</v>
      </c>
      <c r="G10" s="10"/>
      <c r="H10" s="7"/>
      <c r="I10" s="7"/>
    </row>
    <row r="11" ht="14.25" customHeight="1">
      <c r="A11" s="7" t="s">
        <v>11</v>
      </c>
      <c r="B11" s="7" t="s">
        <v>11</v>
      </c>
      <c r="C11" s="7" t="s">
        <v>44</v>
      </c>
      <c r="D11" s="7" t="s">
        <v>49</v>
      </c>
      <c r="E11" s="7" t="s">
        <v>22</v>
      </c>
      <c r="F11" s="9" t="s">
        <v>23</v>
      </c>
      <c r="G11" s="10"/>
      <c r="H11" s="7"/>
      <c r="I11" s="7"/>
    </row>
    <row r="12" ht="14.25" customHeight="1">
      <c r="A12" s="7" t="s">
        <v>11</v>
      </c>
      <c r="B12" s="7" t="s">
        <v>11</v>
      </c>
      <c r="C12" s="7" t="s">
        <v>44</v>
      </c>
      <c r="D12" s="7" t="s">
        <v>51</v>
      </c>
      <c r="E12" s="7" t="s">
        <v>22</v>
      </c>
      <c r="F12" s="9" t="s">
        <v>23</v>
      </c>
      <c r="G12" s="10"/>
      <c r="H12" s="7"/>
      <c r="I12" s="7"/>
    </row>
    <row r="13" ht="14.25" customHeight="1">
      <c r="A13" s="7" t="s">
        <v>11</v>
      </c>
      <c r="B13" s="7" t="s">
        <v>11</v>
      </c>
      <c r="C13" s="7" t="s">
        <v>44</v>
      </c>
      <c r="D13" s="7" t="s">
        <v>53</v>
      </c>
      <c r="E13" s="7" t="s">
        <v>22</v>
      </c>
      <c r="F13" s="9" t="s">
        <v>23</v>
      </c>
      <c r="G13" s="10"/>
      <c r="H13" s="7"/>
      <c r="I13" s="7"/>
    </row>
    <row r="14" ht="14.25" customHeight="1">
      <c r="A14" s="7" t="s">
        <v>11</v>
      </c>
      <c r="B14" s="7" t="s">
        <v>11</v>
      </c>
      <c r="C14" s="7" t="s">
        <v>44</v>
      </c>
      <c r="D14" s="7" t="s">
        <v>55</v>
      </c>
      <c r="E14" s="7" t="s">
        <v>22</v>
      </c>
      <c r="F14" s="9" t="s">
        <v>23</v>
      </c>
      <c r="G14" s="10"/>
      <c r="H14" s="7"/>
      <c r="I14" s="7"/>
    </row>
    <row r="15" ht="14.25" customHeight="1">
      <c r="A15" s="7" t="s">
        <v>11</v>
      </c>
      <c r="B15" s="7" t="s">
        <v>11</v>
      </c>
      <c r="C15" s="7" t="s">
        <v>44</v>
      </c>
      <c r="D15" s="7" t="s">
        <v>57</v>
      </c>
      <c r="E15" s="7" t="s">
        <v>22</v>
      </c>
      <c r="F15" s="9" t="s">
        <v>23</v>
      </c>
      <c r="G15" s="10"/>
      <c r="H15" s="7"/>
      <c r="I15" s="7"/>
    </row>
    <row r="16" ht="14.25" customHeight="1">
      <c r="A16" s="7" t="s">
        <v>11</v>
      </c>
      <c r="B16" s="7" t="s">
        <v>11</v>
      </c>
      <c r="C16" s="7" t="s">
        <v>44</v>
      </c>
      <c r="D16" s="7" t="s">
        <v>58</v>
      </c>
      <c r="E16" s="7" t="s">
        <v>22</v>
      </c>
      <c r="F16" s="9" t="s">
        <v>23</v>
      </c>
      <c r="G16" s="10"/>
      <c r="H16" s="7"/>
      <c r="I16" s="7"/>
    </row>
    <row r="17" ht="14.25" customHeight="1">
      <c r="A17" s="7" t="s">
        <v>11</v>
      </c>
      <c r="B17" s="7" t="s">
        <v>11</v>
      </c>
      <c r="C17" s="7" t="s">
        <v>44</v>
      </c>
      <c r="D17" s="7" t="s">
        <v>60</v>
      </c>
      <c r="E17" s="7" t="s">
        <v>22</v>
      </c>
      <c r="F17" s="9" t="s">
        <v>23</v>
      </c>
      <c r="G17" s="10"/>
      <c r="H17" s="7"/>
      <c r="I17" s="7"/>
    </row>
    <row r="18" ht="14.25" customHeight="1">
      <c r="A18" s="7" t="s">
        <v>11</v>
      </c>
      <c r="B18" s="7" t="s">
        <v>11</v>
      </c>
      <c r="C18" s="7" t="s">
        <v>44</v>
      </c>
      <c r="D18" s="7" t="s">
        <v>61</v>
      </c>
      <c r="E18" s="7" t="s">
        <v>22</v>
      </c>
      <c r="F18" s="9" t="s">
        <v>23</v>
      </c>
      <c r="G18" s="10"/>
      <c r="H18" s="7"/>
      <c r="I18" s="7"/>
    </row>
    <row r="19" ht="14.25" customHeight="1">
      <c r="A19" s="7" t="s">
        <v>11</v>
      </c>
      <c r="B19" s="7" t="s">
        <v>11</v>
      </c>
      <c r="C19" s="7" t="s">
        <v>44</v>
      </c>
      <c r="D19" s="7" t="s">
        <v>62</v>
      </c>
      <c r="E19" s="7" t="s">
        <v>22</v>
      </c>
      <c r="F19" s="9" t="s">
        <v>23</v>
      </c>
      <c r="G19" s="10"/>
      <c r="H19" s="7"/>
      <c r="I19" s="7"/>
    </row>
    <row r="20" ht="14.25" customHeight="1">
      <c r="A20" s="7" t="s">
        <v>11</v>
      </c>
      <c r="B20" s="7" t="s">
        <v>11</v>
      </c>
      <c r="C20" s="7" t="s">
        <v>44</v>
      </c>
      <c r="D20" s="7" t="s">
        <v>64</v>
      </c>
      <c r="E20" s="7" t="s">
        <v>65</v>
      </c>
      <c r="F20" s="9" t="s">
        <v>23</v>
      </c>
      <c r="G20" s="10"/>
      <c r="H20" s="7"/>
      <c r="I20" s="7"/>
    </row>
    <row r="21" ht="14.25" customHeight="1">
      <c r="A21" s="7" t="s">
        <v>11</v>
      </c>
      <c r="B21" s="7" t="s">
        <v>11</v>
      </c>
      <c r="C21" s="7" t="s">
        <v>44</v>
      </c>
      <c r="D21" s="7" t="s">
        <v>66</v>
      </c>
      <c r="E21" s="7" t="s">
        <v>65</v>
      </c>
      <c r="F21" s="9" t="s">
        <v>23</v>
      </c>
      <c r="G21" s="10"/>
      <c r="H21" s="7"/>
      <c r="I21" s="7"/>
    </row>
    <row r="22" ht="14.25" customHeight="1">
      <c r="A22" s="7" t="s">
        <v>17</v>
      </c>
      <c r="B22" s="7" t="s">
        <v>17</v>
      </c>
      <c r="C22" s="7" t="s">
        <v>68</v>
      </c>
      <c r="D22" s="7" t="s">
        <v>69</v>
      </c>
      <c r="E22" s="7" t="s">
        <v>22</v>
      </c>
      <c r="F22" s="9" t="s">
        <v>23</v>
      </c>
      <c r="G22" s="10"/>
      <c r="H22" s="7"/>
      <c r="I22" s="7"/>
    </row>
    <row r="23" ht="14.25" customHeight="1">
      <c r="A23" s="7" t="s">
        <v>17</v>
      </c>
      <c r="B23" s="7" t="s">
        <v>17</v>
      </c>
      <c r="C23" s="7" t="s">
        <v>68</v>
      </c>
      <c r="D23" s="7" t="s">
        <v>70</v>
      </c>
      <c r="E23" s="7" t="s">
        <v>22</v>
      </c>
      <c r="F23" s="9" t="s">
        <v>23</v>
      </c>
      <c r="G23" s="10"/>
      <c r="H23" s="7"/>
      <c r="I23" s="7"/>
    </row>
    <row r="24" ht="14.25" customHeight="1">
      <c r="A24" s="7" t="s">
        <v>17</v>
      </c>
      <c r="B24" s="7" t="s">
        <v>17</v>
      </c>
      <c r="C24" s="7" t="s">
        <v>68</v>
      </c>
      <c r="D24" s="7" t="s">
        <v>71</v>
      </c>
      <c r="E24" s="7" t="s">
        <v>22</v>
      </c>
      <c r="F24" s="9" t="s">
        <v>23</v>
      </c>
      <c r="G24" s="10"/>
      <c r="H24" s="7"/>
      <c r="I24" s="7"/>
    </row>
    <row r="25" ht="14.25" customHeight="1">
      <c r="A25" s="7" t="s">
        <v>17</v>
      </c>
      <c r="B25" s="7" t="s">
        <v>17</v>
      </c>
      <c r="C25" s="7" t="s">
        <v>68</v>
      </c>
      <c r="D25" s="7" t="s">
        <v>73</v>
      </c>
      <c r="E25" s="7" t="s">
        <v>22</v>
      </c>
      <c r="F25" s="9" t="s">
        <v>23</v>
      </c>
      <c r="G25" s="10"/>
      <c r="H25" s="7"/>
      <c r="I25" s="7"/>
    </row>
    <row r="26" ht="14.25" customHeight="1">
      <c r="A26" s="7" t="s">
        <v>17</v>
      </c>
      <c r="B26" s="7" t="s">
        <v>17</v>
      </c>
      <c r="C26" s="7" t="s">
        <v>68</v>
      </c>
      <c r="D26" s="7" t="s">
        <v>74</v>
      </c>
      <c r="E26" s="7" t="s">
        <v>22</v>
      </c>
      <c r="F26" s="9" t="s">
        <v>23</v>
      </c>
      <c r="G26" s="10"/>
      <c r="H26" s="7"/>
      <c r="I26" s="7"/>
    </row>
    <row r="27" ht="14.25" customHeight="1">
      <c r="A27" s="7" t="s">
        <v>17</v>
      </c>
      <c r="B27" s="7" t="s">
        <v>17</v>
      </c>
      <c r="C27" s="7" t="s">
        <v>68</v>
      </c>
      <c r="D27" s="7" t="s">
        <v>76</v>
      </c>
      <c r="E27" s="7" t="s">
        <v>22</v>
      </c>
      <c r="F27" s="9" t="s">
        <v>23</v>
      </c>
      <c r="G27" s="10"/>
      <c r="H27" s="7"/>
      <c r="I27" s="7"/>
    </row>
    <row r="28" ht="14.25" customHeight="1">
      <c r="A28" s="7" t="s">
        <v>17</v>
      </c>
      <c r="B28" s="7" t="s">
        <v>17</v>
      </c>
      <c r="C28" s="7" t="s">
        <v>68</v>
      </c>
      <c r="D28" s="7" t="s">
        <v>77</v>
      </c>
      <c r="E28" s="7" t="s">
        <v>22</v>
      </c>
      <c r="F28" s="9" t="s">
        <v>23</v>
      </c>
      <c r="G28" s="10"/>
      <c r="H28" s="7"/>
      <c r="I28" s="7"/>
    </row>
    <row r="29" ht="14.25" customHeight="1">
      <c r="A29" s="7" t="s">
        <v>17</v>
      </c>
      <c r="B29" s="7" t="s">
        <v>17</v>
      </c>
      <c r="C29" s="7" t="s">
        <v>68</v>
      </c>
      <c r="D29" s="7" t="s">
        <v>79</v>
      </c>
      <c r="E29" s="7" t="s">
        <v>22</v>
      </c>
      <c r="F29" s="9" t="s">
        <v>23</v>
      </c>
      <c r="G29" s="10"/>
      <c r="H29" s="7"/>
      <c r="I29" s="7"/>
    </row>
    <row r="30" ht="14.25" customHeight="1">
      <c r="A30" s="7" t="s">
        <v>17</v>
      </c>
      <c r="B30" s="7" t="s">
        <v>17</v>
      </c>
      <c r="C30" s="7" t="s">
        <v>68</v>
      </c>
      <c r="D30" s="7" t="s">
        <v>80</v>
      </c>
      <c r="E30" s="7" t="s">
        <v>22</v>
      </c>
      <c r="F30" s="9" t="s">
        <v>23</v>
      </c>
      <c r="G30" s="10"/>
      <c r="H30" s="7"/>
      <c r="I30" s="7"/>
    </row>
    <row r="31" ht="14.25" customHeight="1">
      <c r="A31" s="7" t="s">
        <v>17</v>
      </c>
      <c r="B31" s="7" t="s">
        <v>17</v>
      </c>
      <c r="C31" s="7" t="s">
        <v>68</v>
      </c>
      <c r="D31" s="7" t="s">
        <v>82</v>
      </c>
      <c r="E31" s="7" t="s">
        <v>22</v>
      </c>
      <c r="F31" s="11" t="s">
        <v>83</v>
      </c>
      <c r="G31" s="12" t="s">
        <v>84</v>
      </c>
      <c r="H31" s="13" t="s">
        <v>85</v>
      </c>
      <c r="I31" s="7"/>
    </row>
    <row r="32" ht="14.25" customHeight="1">
      <c r="A32" s="7" t="s">
        <v>17</v>
      </c>
      <c r="B32" s="7" t="s">
        <v>17</v>
      </c>
      <c r="C32" s="7" t="s">
        <v>68</v>
      </c>
      <c r="D32" s="7" t="s">
        <v>87</v>
      </c>
      <c r="E32" s="7" t="s">
        <v>22</v>
      </c>
      <c r="F32" s="11" t="s">
        <v>23</v>
      </c>
      <c r="G32" s="10"/>
      <c r="H32" s="7"/>
      <c r="I32" s="7"/>
    </row>
    <row r="33" ht="14.25" customHeight="1">
      <c r="A33" s="7" t="s">
        <v>17</v>
      </c>
      <c r="B33" s="7" t="s">
        <v>17</v>
      </c>
      <c r="C33" s="7" t="s">
        <v>68</v>
      </c>
      <c r="D33" s="7" t="s">
        <v>88</v>
      </c>
      <c r="E33" s="7" t="s">
        <v>22</v>
      </c>
      <c r="F33" s="9" t="s">
        <v>23</v>
      </c>
      <c r="G33" s="10"/>
      <c r="H33" s="7"/>
      <c r="I33" s="7"/>
    </row>
    <row r="34" ht="14.25" customHeight="1">
      <c r="A34" s="7" t="s">
        <v>17</v>
      </c>
      <c r="B34" s="7" t="s">
        <v>17</v>
      </c>
      <c r="C34" s="7" t="s">
        <v>68</v>
      </c>
      <c r="D34" s="7" t="s">
        <v>90</v>
      </c>
      <c r="E34" s="7" t="s">
        <v>22</v>
      </c>
      <c r="F34" s="9" t="s">
        <v>23</v>
      </c>
      <c r="G34" s="10"/>
      <c r="H34" s="7"/>
      <c r="I34" s="7"/>
    </row>
    <row r="35" ht="14.25" customHeight="1">
      <c r="A35" s="7" t="s">
        <v>17</v>
      </c>
      <c r="B35" s="7" t="s">
        <v>17</v>
      </c>
      <c r="C35" s="7" t="s">
        <v>68</v>
      </c>
      <c r="D35" s="7" t="s">
        <v>91</v>
      </c>
      <c r="E35" s="7" t="s">
        <v>65</v>
      </c>
      <c r="F35" s="9" t="s">
        <v>23</v>
      </c>
      <c r="G35" s="10"/>
      <c r="H35" s="7"/>
      <c r="I35" s="7"/>
    </row>
    <row r="36" ht="14.25" customHeight="1">
      <c r="A36" s="7" t="s">
        <v>25</v>
      </c>
      <c r="B36" s="7" t="s">
        <v>25</v>
      </c>
      <c r="C36" s="7" t="s">
        <v>59</v>
      </c>
      <c r="D36" s="7" t="s">
        <v>93</v>
      </c>
      <c r="E36" s="7" t="s">
        <v>94</v>
      </c>
      <c r="F36" s="9" t="s">
        <v>23</v>
      </c>
      <c r="G36" s="10"/>
      <c r="H36" s="7"/>
      <c r="I36" s="7"/>
    </row>
    <row r="37" ht="14.25" customHeight="1">
      <c r="A37" s="7" t="s">
        <v>25</v>
      </c>
      <c r="B37" s="7" t="s">
        <v>25</v>
      </c>
      <c r="C37" s="7" t="s">
        <v>59</v>
      </c>
      <c r="D37" s="7" t="s">
        <v>59</v>
      </c>
      <c r="E37" s="7" t="s">
        <v>41</v>
      </c>
      <c r="F37" s="9" t="s">
        <v>23</v>
      </c>
      <c r="G37" s="10"/>
      <c r="H37" s="7"/>
      <c r="I37" s="7"/>
    </row>
    <row r="38" ht="14.25" customHeight="1">
      <c r="A38" s="7" t="s">
        <v>25</v>
      </c>
      <c r="B38" s="7" t="s">
        <v>25</v>
      </c>
      <c r="C38" s="7" t="s">
        <v>59</v>
      </c>
      <c r="D38" s="7" t="s">
        <v>96</v>
      </c>
      <c r="E38" s="7" t="s">
        <v>41</v>
      </c>
      <c r="F38" s="9" t="s">
        <v>23</v>
      </c>
      <c r="G38" s="10"/>
      <c r="H38" s="7"/>
      <c r="I38" s="7"/>
    </row>
    <row r="39" ht="14.25" customHeight="1">
      <c r="A39" s="7" t="s">
        <v>25</v>
      </c>
      <c r="B39" s="7" t="s">
        <v>25</v>
      </c>
      <c r="C39" s="7" t="s">
        <v>59</v>
      </c>
      <c r="D39" s="7" t="s">
        <v>98</v>
      </c>
      <c r="E39" s="7" t="s">
        <v>41</v>
      </c>
      <c r="F39" s="9" t="s">
        <v>23</v>
      </c>
      <c r="G39" s="10"/>
      <c r="H39" s="7"/>
      <c r="I39" s="7"/>
    </row>
    <row r="40" ht="14.25" customHeight="1">
      <c r="A40" s="7" t="s">
        <v>25</v>
      </c>
      <c r="B40" s="7" t="s">
        <v>25</v>
      </c>
      <c r="C40" s="7" t="s">
        <v>59</v>
      </c>
      <c r="D40" s="7" t="s">
        <v>99</v>
      </c>
      <c r="E40" s="7" t="s">
        <v>41</v>
      </c>
      <c r="F40" s="9" t="s">
        <v>23</v>
      </c>
      <c r="G40" s="10"/>
      <c r="H40" s="7"/>
      <c r="I40" s="7"/>
    </row>
    <row r="41" ht="14.25" customHeight="1">
      <c r="A41" s="7" t="s">
        <v>25</v>
      </c>
      <c r="B41" s="7" t="s">
        <v>25</v>
      </c>
      <c r="C41" s="7" t="s">
        <v>59</v>
      </c>
      <c r="D41" s="7" t="s">
        <v>101</v>
      </c>
      <c r="E41" s="7" t="s">
        <v>41</v>
      </c>
      <c r="F41" s="9" t="s">
        <v>23</v>
      </c>
      <c r="G41" s="10"/>
      <c r="H41" s="7"/>
      <c r="I41" s="7"/>
    </row>
    <row r="42" ht="14.25" customHeight="1">
      <c r="A42" s="7" t="s">
        <v>25</v>
      </c>
      <c r="B42" s="7" t="s">
        <v>25</v>
      </c>
      <c r="C42" s="7" t="s">
        <v>59</v>
      </c>
      <c r="D42" s="7" t="s">
        <v>102</v>
      </c>
      <c r="E42" s="7" t="s">
        <v>41</v>
      </c>
      <c r="F42" s="9" t="s">
        <v>23</v>
      </c>
      <c r="G42" s="10"/>
      <c r="H42" s="7"/>
      <c r="I42" s="7"/>
    </row>
    <row r="43" ht="14.25" customHeight="1">
      <c r="A43" s="7" t="s">
        <v>25</v>
      </c>
      <c r="B43" s="7" t="s">
        <v>25</v>
      </c>
      <c r="C43" s="7" t="s">
        <v>59</v>
      </c>
      <c r="D43" s="7" t="s">
        <v>104</v>
      </c>
      <c r="E43" s="7" t="s">
        <v>41</v>
      </c>
      <c r="F43" s="9" t="s">
        <v>23</v>
      </c>
      <c r="G43" s="10"/>
      <c r="H43" s="7"/>
      <c r="I43" s="7"/>
    </row>
    <row r="44" ht="14.25" customHeight="1">
      <c r="A44" s="7" t="s">
        <v>25</v>
      </c>
      <c r="B44" s="7" t="s">
        <v>25</v>
      </c>
      <c r="C44" s="7" t="s">
        <v>59</v>
      </c>
      <c r="D44" s="7" t="s">
        <v>105</v>
      </c>
      <c r="E44" s="7" t="s">
        <v>41</v>
      </c>
      <c r="F44" s="9" t="s">
        <v>23</v>
      </c>
      <c r="G44" s="10"/>
      <c r="H44" s="7"/>
      <c r="I44" s="7"/>
    </row>
    <row r="45" ht="14.25" customHeight="1">
      <c r="A45" s="7" t="s">
        <v>25</v>
      </c>
      <c r="B45" s="7" t="s">
        <v>25</v>
      </c>
      <c r="C45" s="7" t="s">
        <v>59</v>
      </c>
      <c r="D45" s="7" t="s">
        <v>107</v>
      </c>
      <c r="E45" s="7" t="s">
        <v>41</v>
      </c>
      <c r="F45" s="9" t="s">
        <v>23</v>
      </c>
      <c r="G45" s="10"/>
      <c r="H45" s="7"/>
      <c r="I45" s="7"/>
    </row>
    <row r="46" ht="14.25" customHeight="1">
      <c r="A46" s="7" t="s">
        <v>25</v>
      </c>
      <c r="B46" s="7" t="s">
        <v>25</v>
      </c>
      <c r="C46" s="7" t="s">
        <v>59</v>
      </c>
      <c r="D46" s="7" t="s">
        <v>108</v>
      </c>
      <c r="E46" s="7" t="s">
        <v>41</v>
      </c>
      <c r="F46" s="9" t="s">
        <v>23</v>
      </c>
      <c r="G46" s="10"/>
      <c r="H46" s="7"/>
      <c r="I46" s="7"/>
    </row>
    <row r="47" ht="14.25" customHeight="1">
      <c r="A47" s="7" t="s">
        <v>25</v>
      </c>
      <c r="B47" s="7" t="s">
        <v>25</v>
      </c>
      <c r="C47" s="7" t="s">
        <v>59</v>
      </c>
      <c r="D47" s="7" t="s">
        <v>110</v>
      </c>
      <c r="E47" s="7" t="s">
        <v>41</v>
      </c>
      <c r="F47" s="9" t="s">
        <v>23</v>
      </c>
      <c r="G47" s="10"/>
      <c r="H47" s="7"/>
      <c r="I47" s="7"/>
    </row>
    <row r="48" ht="14.25" customHeight="1">
      <c r="A48" s="7" t="s">
        <v>25</v>
      </c>
      <c r="B48" s="7" t="s">
        <v>25</v>
      </c>
      <c r="C48" s="7" t="s">
        <v>72</v>
      </c>
      <c r="D48" s="7" t="s">
        <v>72</v>
      </c>
      <c r="E48" s="7" t="s">
        <v>41</v>
      </c>
      <c r="F48" s="9" t="s">
        <v>23</v>
      </c>
      <c r="G48" s="10"/>
      <c r="H48" s="7"/>
      <c r="I48" s="7"/>
    </row>
    <row r="49" ht="14.25" customHeight="1">
      <c r="A49" s="7" t="s">
        <v>25</v>
      </c>
      <c r="B49" s="7" t="s">
        <v>25</v>
      </c>
      <c r="C49" s="7" t="s">
        <v>72</v>
      </c>
      <c r="D49" s="7" t="s">
        <v>112</v>
      </c>
      <c r="E49" s="7" t="s">
        <v>41</v>
      </c>
      <c r="F49" s="9" t="s">
        <v>23</v>
      </c>
      <c r="G49" s="10"/>
      <c r="H49" s="7"/>
      <c r="I49" s="7"/>
    </row>
    <row r="50" ht="14.25" customHeight="1">
      <c r="A50" s="7" t="s">
        <v>25</v>
      </c>
      <c r="B50" s="7" t="s">
        <v>25</v>
      </c>
      <c r="C50" s="7" t="s">
        <v>72</v>
      </c>
      <c r="D50" s="7" t="s">
        <v>113</v>
      </c>
      <c r="E50" s="7" t="s">
        <v>41</v>
      </c>
      <c r="F50" s="9" t="s">
        <v>23</v>
      </c>
      <c r="G50" s="10"/>
      <c r="H50" s="7"/>
      <c r="I50" s="7"/>
    </row>
    <row r="51" ht="14.25" customHeight="1">
      <c r="A51" s="7" t="s">
        <v>25</v>
      </c>
      <c r="B51" s="7" t="s">
        <v>25</v>
      </c>
      <c r="C51" s="7" t="s">
        <v>72</v>
      </c>
      <c r="D51" s="7" t="s">
        <v>114</v>
      </c>
      <c r="E51" s="7" t="s">
        <v>41</v>
      </c>
      <c r="F51" s="9" t="s">
        <v>23</v>
      </c>
      <c r="G51" s="10"/>
      <c r="H51" s="7"/>
      <c r="I51" s="7"/>
    </row>
    <row r="52" ht="14.25" customHeight="1">
      <c r="A52" s="7" t="s">
        <v>25</v>
      </c>
      <c r="B52" s="7" t="s">
        <v>25</v>
      </c>
      <c r="C52" s="7" t="s">
        <v>72</v>
      </c>
      <c r="D52" s="7" t="s">
        <v>115</v>
      </c>
      <c r="E52" s="7" t="s">
        <v>41</v>
      </c>
      <c r="F52" s="9" t="s">
        <v>23</v>
      </c>
      <c r="G52" s="10"/>
      <c r="H52" s="7"/>
      <c r="I52" s="7"/>
    </row>
    <row r="53" ht="14.25" customHeight="1">
      <c r="A53" s="7" t="s">
        <v>25</v>
      </c>
      <c r="B53" s="7" t="s">
        <v>25</v>
      </c>
      <c r="C53" s="7" t="s">
        <v>72</v>
      </c>
      <c r="D53" s="7" t="s">
        <v>116</v>
      </c>
      <c r="E53" s="7" t="s">
        <v>41</v>
      </c>
      <c r="F53" s="9" t="s">
        <v>23</v>
      </c>
      <c r="G53" s="10"/>
      <c r="H53" s="7"/>
      <c r="I53" s="7"/>
    </row>
    <row r="54" ht="14.25" customHeight="1">
      <c r="A54" s="7" t="s">
        <v>25</v>
      </c>
      <c r="B54" s="7" t="s">
        <v>25</v>
      </c>
      <c r="C54" s="7" t="s">
        <v>72</v>
      </c>
      <c r="D54" s="7" t="s">
        <v>117</v>
      </c>
      <c r="E54" s="7" t="s">
        <v>41</v>
      </c>
      <c r="F54" s="9" t="s">
        <v>23</v>
      </c>
      <c r="G54" s="10"/>
      <c r="H54" s="7"/>
      <c r="I54" s="7"/>
    </row>
    <row r="55" ht="14.25" customHeight="1">
      <c r="A55" s="7" t="s">
        <v>25</v>
      </c>
      <c r="B55" s="7" t="s">
        <v>25</v>
      </c>
      <c r="C55" s="7" t="s">
        <v>72</v>
      </c>
      <c r="D55" s="7" t="s">
        <v>118</v>
      </c>
      <c r="E55" s="7" t="s">
        <v>41</v>
      </c>
      <c r="F55" s="9" t="s">
        <v>23</v>
      </c>
      <c r="G55" s="10"/>
      <c r="H55" s="7"/>
      <c r="I55" s="7"/>
    </row>
    <row r="56" ht="14.25" customHeight="1">
      <c r="A56" s="7" t="s">
        <v>25</v>
      </c>
      <c r="B56" s="7" t="s">
        <v>25</v>
      </c>
      <c r="C56" s="7" t="s">
        <v>72</v>
      </c>
      <c r="D56" s="7" t="s">
        <v>120</v>
      </c>
      <c r="E56" s="7" t="s">
        <v>41</v>
      </c>
      <c r="F56" s="9" t="s">
        <v>23</v>
      </c>
      <c r="G56" s="10"/>
      <c r="H56" s="7"/>
      <c r="I56" s="7"/>
    </row>
    <row r="57" ht="14.25" customHeight="1">
      <c r="A57" s="7" t="s">
        <v>25</v>
      </c>
      <c r="B57" s="7" t="s">
        <v>25</v>
      </c>
      <c r="C57" s="7" t="s">
        <v>72</v>
      </c>
      <c r="D57" s="7" t="s">
        <v>121</v>
      </c>
      <c r="E57" s="7" t="s">
        <v>41</v>
      </c>
      <c r="F57" s="9" t="s">
        <v>23</v>
      </c>
      <c r="G57" s="10"/>
      <c r="H57" s="7"/>
      <c r="I57" s="7"/>
    </row>
    <row r="58" ht="14.25" customHeight="1">
      <c r="A58" s="7" t="s">
        <v>25</v>
      </c>
      <c r="B58" s="7" t="s">
        <v>25</v>
      </c>
      <c r="C58" s="7" t="s">
        <v>72</v>
      </c>
      <c r="D58" s="7" t="s">
        <v>123</v>
      </c>
      <c r="E58" s="7" t="s">
        <v>41</v>
      </c>
      <c r="F58" s="9" t="s">
        <v>23</v>
      </c>
      <c r="G58" s="10"/>
      <c r="H58" s="7"/>
      <c r="I58" s="7"/>
    </row>
    <row r="59" ht="14.25" customHeight="1">
      <c r="A59" s="7" t="s">
        <v>25</v>
      </c>
      <c r="B59" s="7" t="s">
        <v>25</v>
      </c>
      <c r="C59" s="7" t="s">
        <v>92</v>
      </c>
      <c r="D59" s="7" t="s">
        <v>125</v>
      </c>
      <c r="E59" s="7" t="s">
        <v>41</v>
      </c>
      <c r="F59" s="9" t="s">
        <v>23</v>
      </c>
      <c r="G59" s="10"/>
      <c r="H59" s="7"/>
      <c r="I59" s="7"/>
    </row>
    <row r="60" ht="14.25" customHeight="1">
      <c r="A60" s="7" t="s">
        <v>25</v>
      </c>
      <c r="B60" s="7" t="s">
        <v>25</v>
      </c>
      <c r="C60" s="7" t="s">
        <v>92</v>
      </c>
      <c r="D60" s="7" t="s">
        <v>126</v>
      </c>
      <c r="E60" s="7" t="s">
        <v>41</v>
      </c>
      <c r="F60" s="9" t="s">
        <v>23</v>
      </c>
      <c r="G60" s="10"/>
      <c r="H60" s="7"/>
      <c r="I60" s="7"/>
    </row>
    <row r="61" ht="14.25" customHeight="1">
      <c r="A61" s="7" t="s">
        <v>25</v>
      </c>
      <c r="B61" s="7" t="s">
        <v>25</v>
      </c>
      <c r="C61" s="7" t="s">
        <v>92</v>
      </c>
      <c r="D61" s="7" t="s">
        <v>128</v>
      </c>
      <c r="E61" s="7" t="s">
        <v>41</v>
      </c>
      <c r="F61" s="9" t="s">
        <v>23</v>
      </c>
      <c r="G61" s="10"/>
      <c r="H61" s="7"/>
      <c r="I61" s="7"/>
    </row>
    <row r="62" ht="14.25" customHeight="1">
      <c r="A62" s="7" t="s">
        <v>25</v>
      </c>
      <c r="B62" s="7" t="s">
        <v>25</v>
      </c>
      <c r="C62" s="7" t="s">
        <v>92</v>
      </c>
      <c r="D62" s="7" t="s">
        <v>129</v>
      </c>
      <c r="E62" s="7" t="s">
        <v>41</v>
      </c>
      <c r="F62" s="9" t="s">
        <v>23</v>
      </c>
      <c r="G62" s="10"/>
      <c r="H62" s="7"/>
      <c r="I62" s="7"/>
    </row>
    <row r="63" ht="14.25" customHeight="1">
      <c r="A63" s="7" t="s">
        <v>25</v>
      </c>
      <c r="B63" s="7" t="s">
        <v>25</v>
      </c>
      <c r="C63" s="7" t="s">
        <v>92</v>
      </c>
      <c r="D63" s="7" t="s">
        <v>131</v>
      </c>
      <c r="E63" s="7" t="s">
        <v>41</v>
      </c>
      <c r="F63" s="9" t="s">
        <v>23</v>
      </c>
      <c r="G63" s="10"/>
      <c r="H63" s="7"/>
      <c r="I63" s="7"/>
    </row>
    <row r="64" ht="14.25" customHeight="1">
      <c r="A64" s="7" t="s">
        <v>25</v>
      </c>
      <c r="B64" s="7" t="s">
        <v>25</v>
      </c>
      <c r="C64" s="7" t="s">
        <v>92</v>
      </c>
      <c r="D64" s="7" t="s">
        <v>92</v>
      </c>
      <c r="E64" s="7" t="s">
        <v>41</v>
      </c>
      <c r="F64" s="9" t="s">
        <v>23</v>
      </c>
      <c r="G64" s="10"/>
      <c r="H64" s="7"/>
      <c r="I64" s="7"/>
    </row>
    <row r="65" ht="14.25" customHeight="1">
      <c r="A65" s="7" t="s">
        <v>25</v>
      </c>
      <c r="B65" s="7" t="s">
        <v>25</v>
      </c>
      <c r="C65" s="7" t="s">
        <v>92</v>
      </c>
      <c r="D65" s="7" t="s">
        <v>133</v>
      </c>
      <c r="E65" s="7" t="s">
        <v>41</v>
      </c>
      <c r="F65" s="9" t="s">
        <v>23</v>
      </c>
      <c r="G65" s="10"/>
      <c r="H65" s="7"/>
      <c r="I65" s="7"/>
    </row>
    <row r="66" ht="14.25" customHeight="1">
      <c r="A66" s="7" t="s">
        <v>25</v>
      </c>
      <c r="B66" s="7" t="s">
        <v>25</v>
      </c>
      <c r="C66" s="7" t="s">
        <v>92</v>
      </c>
      <c r="D66" s="7" t="s">
        <v>134</v>
      </c>
      <c r="E66" s="7" t="s">
        <v>41</v>
      </c>
      <c r="F66" s="9" t="s">
        <v>23</v>
      </c>
      <c r="G66" s="10"/>
      <c r="H66" s="7"/>
      <c r="I66" s="7"/>
    </row>
    <row r="67" ht="14.25" customHeight="1">
      <c r="A67" s="7" t="s">
        <v>25</v>
      </c>
      <c r="B67" s="7" t="s">
        <v>25</v>
      </c>
      <c r="C67" s="7" t="s">
        <v>92</v>
      </c>
      <c r="D67" s="7" t="s">
        <v>136</v>
      </c>
      <c r="E67" s="7" t="s">
        <v>41</v>
      </c>
      <c r="F67" s="9" t="s">
        <v>23</v>
      </c>
      <c r="G67" s="10"/>
      <c r="H67" s="7"/>
      <c r="I67" s="7"/>
    </row>
    <row r="68" ht="14.25" customHeight="1">
      <c r="A68" s="7" t="s">
        <v>25</v>
      </c>
      <c r="B68" s="7" t="s">
        <v>25</v>
      </c>
      <c r="C68" s="7" t="s">
        <v>92</v>
      </c>
      <c r="D68" s="7" t="s">
        <v>138</v>
      </c>
      <c r="E68" s="7" t="s">
        <v>41</v>
      </c>
      <c r="F68" s="9" t="s">
        <v>23</v>
      </c>
      <c r="G68" s="10"/>
      <c r="H68" s="7"/>
      <c r="I68" s="7"/>
    </row>
    <row r="69" ht="14.25" customHeight="1">
      <c r="A69" s="7" t="s">
        <v>25</v>
      </c>
      <c r="B69" s="7" t="s">
        <v>25</v>
      </c>
      <c r="C69" s="7" t="s">
        <v>92</v>
      </c>
      <c r="D69" s="7" t="s">
        <v>139</v>
      </c>
      <c r="E69" s="7" t="s">
        <v>41</v>
      </c>
      <c r="F69" s="9" t="s">
        <v>23</v>
      </c>
      <c r="G69" s="10"/>
      <c r="H69" s="7"/>
      <c r="I69" s="7"/>
    </row>
    <row r="70" ht="14.25" customHeight="1">
      <c r="A70" s="7" t="s">
        <v>25</v>
      </c>
      <c r="B70" s="7" t="s">
        <v>25</v>
      </c>
      <c r="C70" s="7" t="s">
        <v>92</v>
      </c>
      <c r="D70" s="7" t="s">
        <v>141</v>
      </c>
      <c r="E70" s="7" t="s">
        <v>41</v>
      </c>
      <c r="F70" s="9" t="s">
        <v>23</v>
      </c>
      <c r="G70" s="10"/>
      <c r="H70" s="7"/>
      <c r="I70" s="7"/>
    </row>
    <row r="71" ht="14.25" customHeight="1">
      <c r="A71" s="7" t="s">
        <v>25</v>
      </c>
      <c r="B71" s="7" t="s">
        <v>25</v>
      </c>
      <c r="C71" s="7" t="s">
        <v>92</v>
      </c>
      <c r="D71" s="7" t="s">
        <v>142</v>
      </c>
      <c r="E71" s="7" t="s">
        <v>65</v>
      </c>
      <c r="F71" s="9" t="s">
        <v>23</v>
      </c>
      <c r="G71" s="10"/>
      <c r="H71" s="7"/>
      <c r="I71" s="7"/>
    </row>
    <row r="72" ht="14.25" customHeight="1">
      <c r="A72" s="7" t="s">
        <v>27</v>
      </c>
      <c r="B72" s="7" t="s">
        <v>27</v>
      </c>
      <c r="C72" s="7" t="s">
        <v>81</v>
      </c>
      <c r="D72" s="7" t="s">
        <v>143</v>
      </c>
      <c r="E72" s="7" t="s">
        <v>41</v>
      </c>
      <c r="F72" s="9" t="s">
        <v>23</v>
      </c>
      <c r="G72" s="10"/>
      <c r="H72" s="7"/>
      <c r="I72" s="7"/>
    </row>
    <row r="73" ht="14.25" customHeight="1">
      <c r="A73" s="7" t="s">
        <v>27</v>
      </c>
      <c r="B73" s="7" t="s">
        <v>27</v>
      </c>
      <c r="C73" s="7" t="s">
        <v>81</v>
      </c>
      <c r="D73" s="7" t="s">
        <v>144</v>
      </c>
      <c r="E73" s="7" t="s">
        <v>41</v>
      </c>
      <c r="F73" s="9" t="s">
        <v>23</v>
      </c>
      <c r="G73" s="10"/>
      <c r="H73" s="7"/>
      <c r="I73" s="7"/>
    </row>
    <row r="74" ht="14.25" customHeight="1">
      <c r="A74" s="7" t="s">
        <v>27</v>
      </c>
      <c r="B74" s="7" t="s">
        <v>27</v>
      </c>
      <c r="C74" s="7" t="s">
        <v>81</v>
      </c>
      <c r="D74" s="7" t="s">
        <v>145</v>
      </c>
      <c r="E74" s="7" t="s">
        <v>41</v>
      </c>
      <c r="F74" s="9" t="s">
        <v>23</v>
      </c>
      <c r="G74" s="10"/>
      <c r="H74" s="7"/>
      <c r="I74" s="7"/>
    </row>
    <row r="75" ht="14.25" customHeight="1">
      <c r="A75" s="7" t="s">
        <v>27</v>
      </c>
      <c r="B75" s="7" t="s">
        <v>27</v>
      </c>
      <c r="C75" s="7" t="s">
        <v>81</v>
      </c>
      <c r="D75" s="7" t="s">
        <v>146</v>
      </c>
      <c r="E75" s="7" t="s">
        <v>41</v>
      </c>
      <c r="F75" s="9" t="s">
        <v>23</v>
      </c>
      <c r="G75" s="10"/>
      <c r="H75" s="7"/>
      <c r="I75" s="7"/>
    </row>
    <row r="76" ht="14.25" customHeight="1">
      <c r="A76" s="7" t="s">
        <v>27</v>
      </c>
      <c r="B76" s="7" t="s">
        <v>27</v>
      </c>
      <c r="C76" s="7" t="s">
        <v>81</v>
      </c>
      <c r="D76" s="7" t="s">
        <v>147</v>
      </c>
      <c r="E76" s="7" t="s">
        <v>41</v>
      </c>
      <c r="F76" s="9" t="s">
        <v>23</v>
      </c>
      <c r="G76" s="10"/>
      <c r="H76" s="7"/>
      <c r="I76" s="7"/>
    </row>
    <row r="77" ht="14.25" customHeight="1">
      <c r="A77" s="7" t="s">
        <v>27</v>
      </c>
      <c r="B77" s="7" t="s">
        <v>27</v>
      </c>
      <c r="C77" s="7" t="s">
        <v>81</v>
      </c>
      <c r="D77" s="7" t="s">
        <v>148</v>
      </c>
      <c r="E77" s="7" t="s">
        <v>41</v>
      </c>
      <c r="F77" s="9" t="s">
        <v>23</v>
      </c>
      <c r="G77" s="10"/>
      <c r="H77" s="7"/>
      <c r="I77" s="7"/>
    </row>
    <row r="78" ht="14.25" customHeight="1">
      <c r="A78" s="7" t="s">
        <v>27</v>
      </c>
      <c r="B78" s="7" t="s">
        <v>27</v>
      </c>
      <c r="C78" s="7" t="s">
        <v>81</v>
      </c>
      <c r="D78" s="7" t="s">
        <v>149</v>
      </c>
      <c r="E78" s="7" t="s">
        <v>41</v>
      </c>
      <c r="F78" s="9" t="s">
        <v>23</v>
      </c>
      <c r="G78" s="10"/>
      <c r="H78" s="7"/>
      <c r="I78" s="7"/>
    </row>
    <row r="79" ht="14.25" customHeight="1">
      <c r="A79" s="7" t="s">
        <v>27</v>
      </c>
      <c r="B79" s="7" t="s">
        <v>27</v>
      </c>
      <c r="C79" s="7" t="s">
        <v>81</v>
      </c>
      <c r="D79" s="7" t="s">
        <v>150</v>
      </c>
      <c r="E79" s="7" t="s">
        <v>65</v>
      </c>
      <c r="F79" s="9" t="s">
        <v>23</v>
      </c>
      <c r="G79" s="10"/>
      <c r="H79" s="7"/>
      <c r="I79" s="7"/>
    </row>
    <row r="80" ht="14.25" customHeight="1">
      <c r="A80" s="7" t="s">
        <v>27</v>
      </c>
      <c r="B80" s="7" t="s">
        <v>27</v>
      </c>
      <c r="C80" s="7" t="s">
        <v>81</v>
      </c>
      <c r="D80" s="7" t="s">
        <v>151</v>
      </c>
      <c r="E80" s="7" t="s">
        <v>41</v>
      </c>
      <c r="F80" s="9" t="s">
        <v>23</v>
      </c>
      <c r="G80" s="10"/>
      <c r="H80" s="7"/>
      <c r="I80" s="7"/>
    </row>
    <row r="81" ht="14.25" customHeight="1">
      <c r="A81" s="7" t="s">
        <v>27</v>
      </c>
      <c r="B81" s="7" t="s">
        <v>27</v>
      </c>
      <c r="C81" s="7" t="s">
        <v>81</v>
      </c>
      <c r="D81" s="7" t="s">
        <v>152</v>
      </c>
      <c r="E81" s="7" t="s">
        <v>41</v>
      </c>
      <c r="F81" s="9" t="s">
        <v>23</v>
      </c>
      <c r="G81" s="10"/>
      <c r="H81" s="7"/>
      <c r="I81" s="7"/>
    </row>
    <row r="82" ht="14.25" customHeight="1">
      <c r="A82" s="7" t="s">
        <v>27</v>
      </c>
      <c r="B82" s="7" t="s">
        <v>27</v>
      </c>
      <c r="C82" s="7" t="s">
        <v>122</v>
      </c>
      <c r="D82" s="7" t="s">
        <v>153</v>
      </c>
      <c r="E82" s="7" t="s">
        <v>41</v>
      </c>
      <c r="F82" s="9" t="s">
        <v>23</v>
      </c>
      <c r="G82" s="10"/>
      <c r="H82" s="7"/>
      <c r="I82" s="7"/>
    </row>
    <row r="83" ht="14.25" customHeight="1">
      <c r="A83" s="7" t="s">
        <v>27</v>
      </c>
      <c r="B83" s="7" t="s">
        <v>27</v>
      </c>
      <c r="C83" s="7" t="s">
        <v>122</v>
      </c>
      <c r="D83" s="7" t="s">
        <v>154</v>
      </c>
      <c r="E83" s="7" t="s">
        <v>41</v>
      </c>
      <c r="F83" s="9" t="s">
        <v>23</v>
      </c>
      <c r="G83" s="10"/>
      <c r="H83" s="7"/>
      <c r="I83" s="7"/>
    </row>
    <row r="84" ht="14.25" customHeight="1">
      <c r="A84" s="7" t="s">
        <v>27</v>
      </c>
      <c r="B84" s="7" t="s">
        <v>27</v>
      </c>
      <c r="C84" s="7" t="s">
        <v>122</v>
      </c>
      <c r="D84" s="7" t="s">
        <v>155</v>
      </c>
      <c r="E84" s="7" t="s">
        <v>41</v>
      </c>
      <c r="F84" s="9" t="s">
        <v>23</v>
      </c>
      <c r="G84" s="10"/>
      <c r="H84" s="7"/>
      <c r="I84" s="7"/>
    </row>
    <row r="85" ht="14.25" customHeight="1">
      <c r="A85" s="7" t="s">
        <v>27</v>
      </c>
      <c r="B85" s="7" t="s">
        <v>27</v>
      </c>
      <c r="C85" s="7" t="s">
        <v>122</v>
      </c>
      <c r="D85" s="7" t="s">
        <v>156</v>
      </c>
      <c r="E85" s="7" t="s">
        <v>41</v>
      </c>
      <c r="F85" s="9" t="s">
        <v>23</v>
      </c>
      <c r="G85" s="10"/>
      <c r="H85" s="7"/>
      <c r="I85" s="7"/>
    </row>
    <row r="86" ht="14.25" customHeight="1">
      <c r="A86" s="7" t="s">
        <v>27</v>
      </c>
      <c r="B86" s="7" t="s">
        <v>27</v>
      </c>
      <c r="C86" s="7" t="s">
        <v>122</v>
      </c>
      <c r="D86" s="7" t="s">
        <v>157</v>
      </c>
      <c r="E86" s="7" t="s">
        <v>41</v>
      </c>
      <c r="F86" s="9" t="s">
        <v>23</v>
      </c>
      <c r="G86" s="10"/>
      <c r="H86" s="7"/>
      <c r="I86" s="7"/>
    </row>
    <row r="87" ht="14.25" customHeight="1">
      <c r="A87" s="7" t="s">
        <v>27</v>
      </c>
      <c r="B87" s="7" t="s">
        <v>27</v>
      </c>
      <c r="C87" s="7" t="s">
        <v>122</v>
      </c>
      <c r="D87" s="7" t="s">
        <v>158</v>
      </c>
      <c r="E87" s="7" t="s">
        <v>41</v>
      </c>
      <c r="F87" s="9" t="s">
        <v>23</v>
      </c>
      <c r="G87" s="10"/>
      <c r="H87" s="7"/>
      <c r="I87" s="7"/>
    </row>
    <row r="88" ht="14.25" customHeight="1">
      <c r="A88" s="7" t="s">
        <v>27</v>
      </c>
      <c r="B88" s="7" t="s">
        <v>27</v>
      </c>
      <c r="C88" s="7" t="s">
        <v>122</v>
      </c>
      <c r="D88" s="7" t="s">
        <v>122</v>
      </c>
      <c r="E88" s="7" t="s">
        <v>41</v>
      </c>
      <c r="F88" s="9" t="s">
        <v>23</v>
      </c>
      <c r="G88" s="10"/>
      <c r="H88" s="7"/>
      <c r="I88" s="7"/>
    </row>
    <row r="89" ht="14.25" customHeight="1">
      <c r="A89" s="7" t="s">
        <v>27</v>
      </c>
      <c r="B89" s="7" t="s">
        <v>27</v>
      </c>
      <c r="C89" s="7" t="s">
        <v>122</v>
      </c>
      <c r="D89" s="7" t="s">
        <v>159</v>
      </c>
      <c r="E89" s="7" t="s">
        <v>41</v>
      </c>
      <c r="F89" s="9" t="s">
        <v>23</v>
      </c>
      <c r="G89" s="10"/>
      <c r="H89" s="7"/>
      <c r="I89" s="7"/>
    </row>
    <row r="90" ht="14.25" customHeight="1">
      <c r="A90" s="7" t="s">
        <v>27</v>
      </c>
      <c r="B90" s="7" t="s">
        <v>27</v>
      </c>
      <c r="C90" s="7" t="s">
        <v>122</v>
      </c>
      <c r="D90" s="7" t="s">
        <v>160</v>
      </c>
      <c r="E90" s="7" t="s">
        <v>41</v>
      </c>
      <c r="F90" s="9" t="s">
        <v>23</v>
      </c>
      <c r="G90" s="10"/>
      <c r="H90" s="7"/>
      <c r="I90" s="7"/>
    </row>
    <row r="91" ht="14.25" customHeight="1">
      <c r="A91" s="7" t="s">
        <v>27</v>
      </c>
      <c r="B91" s="7" t="s">
        <v>27</v>
      </c>
      <c r="C91" s="7" t="s">
        <v>122</v>
      </c>
      <c r="D91" s="7" t="s">
        <v>161</v>
      </c>
      <c r="E91" s="7" t="s">
        <v>41</v>
      </c>
      <c r="F91" s="9" t="s">
        <v>23</v>
      </c>
      <c r="G91" s="10"/>
      <c r="H91" s="7"/>
      <c r="I91" s="7"/>
    </row>
    <row r="92" ht="14.25" customHeight="1">
      <c r="A92" s="7" t="s">
        <v>27</v>
      </c>
      <c r="B92" s="7" t="s">
        <v>27</v>
      </c>
      <c r="C92" s="7" t="s">
        <v>122</v>
      </c>
      <c r="D92" s="7" t="s">
        <v>162</v>
      </c>
      <c r="E92" s="7" t="s">
        <v>65</v>
      </c>
      <c r="F92" s="9" t="s">
        <v>23</v>
      </c>
      <c r="G92" s="10"/>
      <c r="H92" s="7"/>
      <c r="I92" s="7"/>
    </row>
    <row r="93" ht="14.25" customHeight="1">
      <c r="A93" s="7" t="s">
        <v>27</v>
      </c>
      <c r="B93" s="7" t="s">
        <v>27</v>
      </c>
      <c r="C93" s="7" t="s">
        <v>127</v>
      </c>
      <c r="D93" s="7" t="s">
        <v>163</v>
      </c>
      <c r="E93" s="7" t="s">
        <v>41</v>
      </c>
      <c r="F93" s="9" t="s">
        <v>23</v>
      </c>
      <c r="G93" s="10"/>
      <c r="H93" s="7"/>
      <c r="I93" s="7"/>
    </row>
    <row r="94" ht="14.25" customHeight="1">
      <c r="A94" s="7" t="s">
        <v>27</v>
      </c>
      <c r="B94" s="7" t="s">
        <v>27</v>
      </c>
      <c r="C94" s="7" t="s">
        <v>127</v>
      </c>
      <c r="D94" s="7" t="s">
        <v>164</v>
      </c>
      <c r="E94" s="7" t="s">
        <v>41</v>
      </c>
      <c r="F94" s="9" t="s">
        <v>23</v>
      </c>
      <c r="G94" s="10"/>
      <c r="H94" s="7"/>
      <c r="I94" s="7"/>
    </row>
    <row r="95" ht="14.25" customHeight="1">
      <c r="A95" s="7" t="s">
        <v>27</v>
      </c>
      <c r="B95" s="7" t="s">
        <v>27</v>
      </c>
      <c r="C95" s="7" t="s">
        <v>127</v>
      </c>
      <c r="D95" s="7" t="s">
        <v>165</v>
      </c>
      <c r="E95" s="7" t="s">
        <v>41</v>
      </c>
      <c r="F95" s="9" t="s">
        <v>23</v>
      </c>
      <c r="G95" s="10"/>
      <c r="H95" s="7"/>
      <c r="I95" s="7"/>
    </row>
    <row r="96" ht="14.25" customHeight="1">
      <c r="A96" s="7" t="s">
        <v>27</v>
      </c>
      <c r="B96" s="7" t="s">
        <v>27</v>
      </c>
      <c r="C96" s="7" t="s">
        <v>127</v>
      </c>
      <c r="D96" s="7" t="s">
        <v>166</v>
      </c>
      <c r="E96" s="7" t="s">
        <v>41</v>
      </c>
      <c r="F96" s="9" t="s">
        <v>23</v>
      </c>
      <c r="G96" s="10"/>
      <c r="H96" s="7"/>
      <c r="I96" s="7"/>
    </row>
    <row r="97" ht="14.25" customHeight="1">
      <c r="A97" s="7" t="s">
        <v>27</v>
      </c>
      <c r="B97" s="7" t="s">
        <v>27</v>
      </c>
      <c r="C97" s="7" t="s">
        <v>127</v>
      </c>
      <c r="D97" s="7" t="s">
        <v>167</v>
      </c>
      <c r="E97" s="7" t="s">
        <v>41</v>
      </c>
      <c r="F97" s="9" t="s">
        <v>23</v>
      </c>
      <c r="G97" s="10"/>
      <c r="H97" s="7"/>
      <c r="I97" s="7"/>
    </row>
    <row r="98" ht="14.25" customHeight="1">
      <c r="A98" s="7" t="s">
        <v>27</v>
      </c>
      <c r="B98" s="7" t="s">
        <v>27</v>
      </c>
      <c r="C98" s="7" t="s">
        <v>127</v>
      </c>
      <c r="D98" s="7" t="s">
        <v>127</v>
      </c>
      <c r="E98" s="7" t="s">
        <v>41</v>
      </c>
      <c r="F98" s="9" t="s">
        <v>23</v>
      </c>
      <c r="G98" s="10"/>
      <c r="H98" s="7"/>
      <c r="I98" s="7"/>
    </row>
    <row r="99" ht="14.25" customHeight="1">
      <c r="A99" s="7" t="s">
        <v>27</v>
      </c>
      <c r="B99" s="7" t="s">
        <v>27</v>
      </c>
      <c r="C99" s="7" t="s">
        <v>127</v>
      </c>
      <c r="D99" s="7" t="s">
        <v>168</v>
      </c>
      <c r="E99" s="7" t="s">
        <v>41</v>
      </c>
      <c r="F99" s="9" t="s">
        <v>23</v>
      </c>
      <c r="G99" s="10"/>
      <c r="H99" s="7"/>
      <c r="I99" s="7"/>
    </row>
    <row r="100" ht="14.25" customHeight="1">
      <c r="A100" s="7" t="s">
        <v>27</v>
      </c>
      <c r="B100" s="7" t="s">
        <v>27</v>
      </c>
      <c r="C100" s="7" t="s">
        <v>127</v>
      </c>
      <c r="D100" s="7" t="s">
        <v>169</v>
      </c>
      <c r="E100" s="7" t="s">
        <v>41</v>
      </c>
      <c r="F100" s="9" t="s">
        <v>23</v>
      </c>
      <c r="G100" s="10"/>
      <c r="H100" s="7"/>
      <c r="I100" s="7"/>
    </row>
    <row r="101" ht="14.25" customHeight="1">
      <c r="A101" s="7" t="s">
        <v>27</v>
      </c>
      <c r="B101" s="7" t="s">
        <v>27</v>
      </c>
      <c r="C101" s="7" t="s">
        <v>127</v>
      </c>
      <c r="D101" s="7" t="s">
        <v>170</v>
      </c>
      <c r="E101" s="7" t="s">
        <v>41</v>
      </c>
      <c r="F101" s="9" t="s">
        <v>23</v>
      </c>
      <c r="G101" s="10"/>
      <c r="H101" s="7"/>
      <c r="I101" s="7"/>
    </row>
    <row r="102" ht="14.25" customHeight="1">
      <c r="A102" s="7" t="s">
        <v>27</v>
      </c>
      <c r="B102" s="7" t="s">
        <v>27</v>
      </c>
      <c r="C102" s="7" t="s">
        <v>127</v>
      </c>
      <c r="D102" s="7" t="s">
        <v>171</v>
      </c>
      <c r="E102" s="7" t="s">
        <v>41</v>
      </c>
      <c r="F102" s="9" t="s">
        <v>23</v>
      </c>
      <c r="G102" s="10"/>
      <c r="H102" s="7"/>
      <c r="I102" s="7"/>
    </row>
    <row r="103" ht="14.25" customHeight="1">
      <c r="A103" s="7" t="s">
        <v>27</v>
      </c>
      <c r="B103" s="7" t="s">
        <v>27</v>
      </c>
      <c r="C103" s="7" t="s">
        <v>127</v>
      </c>
      <c r="D103" s="7" t="s">
        <v>172</v>
      </c>
      <c r="E103" s="7" t="s">
        <v>41</v>
      </c>
      <c r="F103" s="9" t="s">
        <v>23</v>
      </c>
      <c r="G103" s="10"/>
      <c r="H103" s="7"/>
      <c r="I103" s="7"/>
    </row>
    <row r="104" ht="14.25" customHeight="1">
      <c r="A104" s="7" t="s">
        <v>27</v>
      </c>
      <c r="B104" s="7" t="s">
        <v>27</v>
      </c>
      <c r="C104" s="7" t="s">
        <v>127</v>
      </c>
      <c r="D104" s="7" t="s">
        <v>173</v>
      </c>
      <c r="E104" s="7" t="s">
        <v>41</v>
      </c>
      <c r="F104" s="9" t="s">
        <v>23</v>
      </c>
      <c r="G104" s="10"/>
      <c r="H104" s="7"/>
      <c r="I104" s="7"/>
    </row>
    <row r="105" ht="14.25" customHeight="1">
      <c r="A105" s="7" t="s">
        <v>27</v>
      </c>
      <c r="B105" s="7" t="s">
        <v>27</v>
      </c>
      <c r="C105" s="7" t="s">
        <v>132</v>
      </c>
      <c r="D105" s="7" t="s">
        <v>174</v>
      </c>
      <c r="E105" s="7" t="s">
        <v>41</v>
      </c>
      <c r="F105" s="9" t="s">
        <v>23</v>
      </c>
      <c r="G105" s="10"/>
      <c r="H105" s="7"/>
      <c r="I105" s="7"/>
    </row>
    <row r="106" ht="14.25" customHeight="1">
      <c r="A106" s="7" t="s">
        <v>27</v>
      </c>
      <c r="B106" s="7" t="s">
        <v>27</v>
      </c>
      <c r="C106" s="7" t="s">
        <v>132</v>
      </c>
      <c r="D106" s="7" t="s">
        <v>175</v>
      </c>
      <c r="E106" s="7" t="s">
        <v>41</v>
      </c>
      <c r="F106" s="9" t="s">
        <v>23</v>
      </c>
      <c r="G106" s="10"/>
      <c r="H106" s="7"/>
      <c r="I106" s="7"/>
    </row>
    <row r="107" ht="14.25" customHeight="1">
      <c r="A107" s="7" t="s">
        <v>27</v>
      </c>
      <c r="B107" s="7" t="s">
        <v>27</v>
      </c>
      <c r="C107" s="7" t="s">
        <v>132</v>
      </c>
      <c r="D107" s="7" t="s">
        <v>176</v>
      </c>
      <c r="E107" s="7" t="s">
        <v>41</v>
      </c>
      <c r="F107" s="9" t="s">
        <v>23</v>
      </c>
      <c r="G107" s="10"/>
      <c r="H107" s="7"/>
      <c r="I107" s="7"/>
    </row>
    <row r="108" ht="14.25" customHeight="1">
      <c r="A108" s="7" t="s">
        <v>27</v>
      </c>
      <c r="B108" s="7" t="s">
        <v>27</v>
      </c>
      <c r="C108" s="7" t="s">
        <v>132</v>
      </c>
      <c r="D108" s="7" t="s">
        <v>177</v>
      </c>
      <c r="E108" s="7" t="s">
        <v>41</v>
      </c>
      <c r="F108" s="9" t="s">
        <v>23</v>
      </c>
      <c r="G108" s="10"/>
      <c r="H108" s="7"/>
      <c r="I108" s="7"/>
    </row>
    <row r="109" ht="14.25" customHeight="1">
      <c r="A109" s="7" t="s">
        <v>27</v>
      </c>
      <c r="B109" s="7" t="s">
        <v>27</v>
      </c>
      <c r="C109" s="7" t="s">
        <v>132</v>
      </c>
      <c r="D109" s="7" t="s">
        <v>178</v>
      </c>
      <c r="E109" s="7" t="s">
        <v>179</v>
      </c>
      <c r="F109" s="9" t="s">
        <v>23</v>
      </c>
      <c r="G109" s="10"/>
      <c r="H109" s="7"/>
      <c r="I109" s="7"/>
    </row>
    <row r="110" ht="14.25" customHeight="1">
      <c r="A110" s="7" t="s">
        <v>27</v>
      </c>
      <c r="B110" s="7" t="s">
        <v>27</v>
      </c>
      <c r="C110" s="7" t="s">
        <v>132</v>
      </c>
      <c r="D110" s="7" t="s">
        <v>180</v>
      </c>
      <c r="E110" s="7" t="s">
        <v>41</v>
      </c>
      <c r="F110" s="9" t="s">
        <v>23</v>
      </c>
      <c r="G110" s="10"/>
      <c r="H110" s="7"/>
      <c r="I110" s="7"/>
    </row>
    <row r="111" ht="14.25" customHeight="1">
      <c r="A111" s="7" t="s">
        <v>27</v>
      </c>
      <c r="B111" s="7" t="s">
        <v>27</v>
      </c>
      <c r="C111" s="7" t="s">
        <v>132</v>
      </c>
      <c r="D111" s="7" t="s">
        <v>181</v>
      </c>
      <c r="E111" s="7" t="s">
        <v>41</v>
      </c>
      <c r="F111" s="9" t="s">
        <v>23</v>
      </c>
      <c r="G111" s="10"/>
      <c r="H111" s="7"/>
      <c r="I111" s="7"/>
    </row>
    <row r="112" ht="14.25" customHeight="1">
      <c r="A112" s="7" t="s">
        <v>27</v>
      </c>
      <c r="B112" s="7" t="s">
        <v>27</v>
      </c>
      <c r="C112" s="7" t="s">
        <v>132</v>
      </c>
      <c r="D112" s="7" t="s">
        <v>182</v>
      </c>
      <c r="E112" s="7" t="s">
        <v>41</v>
      </c>
      <c r="F112" s="9" t="s">
        <v>23</v>
      </c>
      <c r="G112" s="10"/>
      <c r="H112" s="7"/>
      <c r="I112" s="7"/>
    </row>
    <row r="113" ht="14.25" customHeight="1">
      <c r="A113" s="7" t="s">
        <v>27</v>
      </c>
      <c r="B113" s="7" t="s">
        <v>27</v>
      </c>
      <c r="C113" s="7" t="s">
        <v>132</v>
      </c>
      <c r="D113" s="7" t="s">
        <v>183</v>
      </c>
      <c r="E113" s="7" t="s">
        <v>41</v>
      </c>
      <c r="F113" s="9" t="s">
        <v>23</v>
      </c>
      <c r="G113" s="10"/>
      <c r="H113" s="7"/>
      <c r="I113" s="7"/>
    </row>
    <row r="114" ht="14.25" customHeight="1">
      <c r="A114" s="7" t="s">
        <v>27</v>
      </c>
      <c r="B114" s="7" t="s">
        <v>27</v>
      </c>
      <c r="C114" s="7" t="s">
        <v>132</v>
      </c>
      <c r="D114" s="7" t="s">
        <v>132</v>
      </c>
      <c r="E114" s="7" t="s">
        <v>41</v>
      </c>
      <c r="F114" s="9" t="s">
        <v>23</v>
      </c>
      <c r="G114" s="10"/>
      <c r="H114" s="7"/>
      <c r="I114" s="7"/>
    </row>
    <row r="115" ht="14.25" customHeight="1">
      <c r="A115" s="7" t="s">
        <v>27</v>
      </c>
      <c r="B115" s="7" t="s">
        <v>27</v>
      </c>
      <c r="C115" s="7" t="s">
        <v>132</v>
      </c>
      <c r="D115" s="7" t="s">
        <v>184</v>
      </c>
      <c r="E115" s="7" t="s">
        <v>41</v>
      </c>
      <c r="F115" s="9" t="s">
        <v>23</v>
      </c>
      <c r="G115" s="10"/>
      <c r="H115" s="7"/>
      <c r="I115" s="7"/>
    </row>
    <row r="116" ht="14.25" customHeight="1">
      <c r="A116" s="7" t="s">
        <v>27</v>
      </c>
      <c r="B116" s="7" t="s">
        <v>27</v>
      </c>
      <c r="C116" s="7" t="s">
        <v>132</v>
      </c>
      <c r="D116" s="7" t="s">
        <v>185</v>
      </c>
      <c r="E116" s="7" t="s">
        <v>41</v>
      </c>
      <c r="F116" s="9" t="s">
        <v>23</v>
      </c>
      <c r="G116" s="10"/>
      <c r="H116" s="7"/>
      <c r="I116" s="7"/>
    </row>
    <row r="117" ht="14.25" customHeight="1">
      <c r="A117" s="7" t="s">
        <v>30</v>
      </c>
      <c r="B117" s="7" t="s">
        <v>30</v>
      </c>
      <c r="C117" s="7" t="s">
        <v>24</v>
      </c>
      <c r="D117" s="7" t="s">
        <v>186</v>
      </c>
      <c r="E117" s="7" t="s">
        <v>41</v>
      </c>
      <c r="F117" s="9" t="s">
        <v>23</v>
      </c>
      <c r="G117" s="10"/>
      <c r="H117" s="7"/>
      <c r="I117" s="7"/>
    </row>
    <row r="118" ht="14.25" customHeight="1">
      <c r="A118" s="7" t="s">
        <v>30</v>
      </c>
      <c r="B118" s="7" t="s">
        <v>30</v>
      </c>
      <c r="C118" s="7" t="s">
        <v>24</v>
      </c>
      <c r="D118" s="7" t="s">
        <v>187</v>
      </c>
      <c r="E118" s="7" t="s">
        <v>41</v>
      </c>
      <c r="F118" s="9" t="s">
        <v>23</v>
      </c>
      <c r="G118" s="10"/>
      <c r="H118" s="7"/>
      <c r="I118" s="7"/>
    </row>
    <row r="119" ht="14.25" customHeight="1">
      <c r="A119" s="7" t="s">
        <v>30</v>
      </c>
      <c r="B119" s="7" t="s">
        <v>30</v>
      </c>
      <c r="C119" s="7" t="s">
        <v>24</v>
      </c>
      <c r="D119" s="7" t="s">
        <v>24</v>
      </c>
      <c r="E119" s="7" t="s">
        <v>41</v>
      </c>
      <c r="F119" s="9" t="s">
        <v>23</v>
      </c>
      <c r="G119" s="10"/>
      <c r="H119" s="7"/>
      <c r="I119" s="7"/>
    </row>
    <row r="120" ht="14.25" customHeight="1">
      <c r="A120" s="7" t="s">
        <v>30</v>
      </c>
      <c r="B120" s="7" t="s">
        <v>30</v>
      </c>
      <c r="C120" s="7" t="s">
        <v>24</v>
      </c>
      <c r="D120" s="7" t="s">
        <v>188</v>
      </c>
      <c r="E120" s="7" t="s">
        <v>41</v>
      </c>
      <c r="F120" s="9" t="s">
        <v>23</v>
      </c>
      <c r="G120" s="10"/>
      <c r="H120" s="7"/>
      <c r="I120" s="7"/>
    </row>
    <row r="121" ht="14.25" customHeight="1">
      <c r="A121" s="7" t="s">
        <v>30</v>
      </c>
      <c r="B121" s="7" t="s">
        <v>30</v>
      </c>
      <c r="C121" s="7" t="s">
        <v>24</v>
      </c>
      <c r="D121" s="7" t="s">
        <v>189</v>
      </c>
      <c r="E121" s="7" t="s">
        <v>41</v>
      </c>
      <c r="F121" s="9" t="s">
        <v>23</v>
      </c>
      <c r="G121" s="10"/>
      <c r="H121" s="7"/>
      <c r="I121" s="7"/>
    </row>
    <row r="122" ht="14.25" customHeight="1">
      <c r="A122" s="7" t="s">
        <v>30</v>
      </c>
      <c r="B122" s="7" t="s">
        <v>30</v>
      </c>
      <c r="C122" s="7" t="s">
        <v>24</v>
      </c>
      <c r="D122" s="7" t="s">
        <v>190</v>
      </c>
      <c r="E122" s="7" t="s">
        <v>41</v>
      </c>
      <c r="F122" s="9" t="s">
        <v>23</v>
      </c>
      <c r="G122" s="10"/>
      <c r="H122" s="7"/>
      <c r="I122" s="7"/>
    </row>
    <row r="123" ht="14.25" customHeight="1">
      <c r="A123" s="7" t="s">
        <v>30</v>
      </c>
      <c r="B123" s="7" t="s">
        <v>30</v>
      </c>
      <c r="C123" s="7" t="s">
        <v>24</v>
      </c>
      <c r="D123" s="7" t="s">
        <v>191</v>
      </c>
      <c r="E123" s="7" t="s">
        <v>41</v>
      </c>
      <c r="F123" s="9" t="s">
        <v>23</v>
      </c>
      <c r="G123" s="10"/>
      <c r="H123" s="7"/>
      <c r="I123" s="7"/>
    </row>
    <row r="124" ht="14.25" customHeight="1">
      <c r="A124" s="7" t="s">
        <v>30</v>
      </c>
      <c r="B124" s="7" t="s">
        <v>30</v>
      </c>
      <c r="C124" s="7" t="s">
        <v>24</v>
      </c>
      <c r="D124" s="7" t="s">
        <v>192</v>
      </c>
      <c r="E124" s="7" t="s">
        <v>41</v>
      </c>
      <c r="F124" s="9" t="s">
        <v>23</v>
      </c>
      <c r="G124" s="10"/>
      <c r="H124" s="7"/>
      <c r="I124" s="7"/>
    </row>
    <row r="125" ht="14.25" customHeight="1">
      <c r="A125" s="7" t="s">
        <v>30</v>
      </c>
      <c r="B125" s="7" t="s">
        <v>30</v>
      </c>
      <c r="C125" s="7" t="s">
        <v>43</v>
      </c>
      <c r="D125" s="7" t="s">
        <v>43</v>
      </c>
      <c r="E125" s="7" t="s">
        <v>41</v>
      </c>
      <c r="F125" s="9" t="s">
        <v>23</v>
      </c>
      <c r="G125" s="10"/>
      <c r="H125" s="7"/>
      <c r="I125" s="7"/>
    </row>
    <row r="126" ht="14.25" customHeight="1">
      <c r="A126" s="7" t="s">
        <v>30</v>
      </c>
      <c r="B126" s="7" t="s">
        <v>30</v>
      </c>
      <c r="C126" s="7" t="s">
        <v>43</v>
      </c>
      <c r="D126" s="7" t="s">
        <v>193</v>
      </c>
      <c r="E126" s="7" t="s">
        <v>41</v>
      </c>
      <c r="F126" s="9" t="s">
        <v>23</v>
      </c>
      <c r="G126" s="10"/>
      <c r="H126" s="7"/>
      <c r="I126" s="7"/>
    </row>
    <row r="127" ht="14.25" customHeight="1">
      <c r="A127" s="7" t="s">
        <v>30</v>
      </c>
      <c r="B127" s="7" t="s">
        <v>30</v>
      </c>
      <c r="C127" s="7" t="s">
        <v>43</v>
      </c>
      <c r="D127" s="7" t="s">
        <v>194</v>
      </c>
      <c r="E127" s="7" t="s">
        <v>41</v>
      </c>
      <c r="F127" s="9" t="s">
        <v>23</v>
      </c>
      <c r="G127" s="10"/>
      <c r="H127" s="7"/>
      <c r="I127" s="7"/>
    </row>
    <row r="128" ht="14.25" customHeight="1">
      <c r="A128" s="7" t="s">
        <v>30</v>
      </c>
      <c r="B128" s="7" t="s">
        <v>30</v>
      </c>
      <c r="C128" s="7" t="s">
        <v>43</v>
      </c>
      <c r="D128" s="7" t="s">
        <v>195</v>
      </c>
      <c r="E128" s="7" t="s">
        <v>41</v>
      </c>
      <c r="F128" s="9" t="s">
        <v>23</v>
      </c>
      <c r="G128" s="10"/>
      <c r="H128" s="7"/>
      <c r="I128" s="7"/>
    </row>
    <row r="129" ht="14.25" customHeight="1">
      <c r="A129" s="7" t="s">
        <v>30</v>
      </c>
      <c r="B129" s="7" t="s">
        <v>30</v>
      </c>
      <c r="C129" s="7" t="s">
        <v>43</v>
      </c>
      <c r="D129" s="7" t="s">
        <v>196</v>
      </c>
      <c r="E129" s="7" t="s">
        <v>41</v>
      </c>
      <c r="F129" s="9" t="s">
        <v>23</v>
      </c>
      <c r="G129" s="10"/>
      <c r="H129" s="7"/>
      <c r="I129" s="7"/>
    </row>
    <row r="130" ht="14.25" customHeight="1">
      <c r="A130" s="7" t="s">
        <v>30</v>
      </c>
      <c r="B130" s="7" t="s">
        <v>30</v>
      </c>
      <c r="C130" s="7" t="s">
        <v>43</v>
      </c>
      <c r="D130" s="7" t="s">
        <v>197</v>
      </c>
      <c r="E130" s="7" t="s">
        <v>41</v>
      </c>
      <c r="F130" s="9" t="s">
        <v>23</v>
      </c>
      <c r="G130" s="10"/>
      <c r="H130" s="7"/>
      <c r="I130" s="7"/>
    </row>
    <row r="131" ht="14.25" customHeight="1">
      <c r="A131" s="7" t="s">
        <v>30</v>
      </c>
      <c r="B131" s="7" t="s">
        <v>30</v>
      </c>
      <c r="C131" s="7" t="s">
        <v>43</v>
      </c>
      <c r="D131" s="7" t="s">
        <v>198</v>
      </c>
      <c r="E131" s="7" t="s">
        <v>41</v>
      </c>
      <c r="F131" s="9" t="s">
        <v>23</v>
      </c>
      <c r="G131" s="10"/>
      <c r="H131" s="7"/>
      <c r="I131" s="7"/>
    </row>
    <row r="132" ht="14.25" customHeight="1">
      <c r="A132" s="7" t="s">
        <v>30</v>
      </c>
      <c r="B132" s="7" t="s">
        <v>30</v>
      </c>
      <c r="C132" s="7" t="s">
        <v>43</v>
      </c>
      <c r="D132" s="7" t="s">
        <v>199</v>
      </c>
      <c r="E132" s="7" t="s">
        <v>41</v>
      </c>
      <c r="F132" s="9" t="s">
        <v>23</v>
      </c>
      <c r="G132" s="10"/>
      <c r="H132" s="7"/>
      <c r="I132" s="7"/>
    </row>
    <row r="133" ht="14.25" customHeight="1">
      <c r="A133" s="7" t="s">
        <v>30</v>
      </c>
      <c r="B133" s="7" t="s">
        <v>30</v>
      </c>
      <c r="C133" s="7" t="s">
        <v>56</v>
      </c>
      <c r="D133" s="7" t="s">
        <v>200</v>
      </c>
      <c r="E133" s="7" t="s">
        <v>41</v>
      </c>
      <c r="F133" s="9" t="s">
        <v>23</v>
      </c>
      <c r="G133" s="10"/>
      <c r="H133" s="7"/>
      <c r="I133" s="7"/>
    </row>
    <row r="134" ht="14.25" customHeight="1">
      <c r="A134" s="7" t="s">
        <v>30</v>
      </c>
      <c r="B134" s="7" t="s">
        <v>30</v>
      </c>
      <c r="C134" s="7" t="s">
        <v>56</v>
      </c>
      <c r="D134" s="7" t="s">
        <v>201</v>
      </c>
      <c r="E134" s="7" t="s">
        <v>94</v>
      </c>
      <c r="F134" s="9" t="s">
        <v>23</v>
      </c>
      <c r="G134" s="10"/>
      <c r="H134" s="7"/>
      <c r="I134" s="7"/>
    </row>
    <row r="135" ht="14.25" customHeight="1">
      <c r="A135" s="7" t="s">
        <v>30</v>
      </c>
      <c r="B135" s="7" t="s">
        <v>30</v>
      </c>
      <c r="C135" s="7" t="s">
        <v>56</v>
      </c>
      <c r="D135" s="7" t="s">
        <v>56</v>
      </c>
      <c r="E135" s="7" t="s">
        <v>41</v>
      </c>
      <c r="F135" s="9" t="s">
        <v>23</v>
      </c>
      <c r="G135" s="10"/>
      <c r="H135" s="7"/>
      <c r="I135" s="7"/>
    </row>
    <row r="136" ht="14.25" customHeight="1">
      <c r="A136" s="7" t="s">
        <v>30</v>
      </c>
      <c r="B136" s="7" t="s">
        <v>30</v>
      </c>
      <c r="C136" s="7" t="s">
        <v>56</v>
      </c>
      <c r="D136" s="7" t="s">
        <v>202</v>
      </c>
      <c r="E136" s="7" t="s">
        <v>41</v>
      </c>
      <c r="F136" s="9" t="s">
        <v>23</v>
      </c>
      <c r="G136" s="10"/>
      <c r="H136" s="7"/>
      <c r="I136" s="7"/>
    </row>
    <row r="137" ht="14.25" customHeight="1">
      <c r="A137" s="7" t="s">
        <v>30</v>
      </c>
      <c r="B137" s="7" t="s">
        <v>30</v>
      </c>
      <c r="C137" s="7" t="s">
        <v>56</v>
      </c>
      <c r="D137" s="7" t="s">
        <v>203</v>
      </c>
      <c r="E137" s="7" t="s">
        <v>41</v>
      </c>
      <c r="F137" s="9" t="s">
        <v>23</v>
      </c>
      <c r="G137" s="10"/>
      <c r="H137" s="7"/>
      <c r="I137" s="7"/>
    </row>
    <row r="138" ht="14.25" customHeight="1">
      <c r="A138" s="7" t="s">
        <v>30</v>
      </c>
      <c r="B138" s="7" t="s">
        <v>30</v>
      </c>
      <c r="C138" s="7" t="s">
        <v>56</v>
      </c>
      <c r="D138" s="7" t="s">
        <v>204</v>
      </c>
      <c r="E138" s="7" t="s">
        <v>41</v>
      </c>
      <c r="F138" s="9" t="s">
        <v>23</v>
      </c>
      <c r="G138" s="10"/>
      <c r="H138" s="7"/>
      <c r="I138" s="7"/>
    </row>
    <row r="139" ht="14.25" customHeight="1">
      <c r="A139" s="7" t="s">
        <v>30</v>
      </c>
      <c r="B139" s="7" t="s">
        <v>30</v>
      </c>
      <c r="C139" s="7" t="s">
        <v>56</v>
      </c>
      <c r="D139" s="7" t="s">
        <v>205</v>
      </c>
      <c r="E139" s="7" t="s">
        <v>41</v>
      </c>
      <c r="F139" s="9" t="s">
        <v>23</v>
      </c>
      <c r="G139" s="10"/>
      <c r="H139" s="7"/>
      <c r="I139" s="7"/>
    </row>
    <row r="140" ht="14.25" customHeight="1">
      <c r="A140" s="7" t="s">
        <v>30</v>
      </c>
      <c r="B140" s="7" t="s">
        <v>30</v>
      </c>
      <c r="C140" s="7" t="s">
        <v>56</v>
      </c>
      <c r="D140" s="7" t="s">
        <v>206</v>
      </c>
      <c r="E140" s="7" t="s">
        <v>41</v>
      </c>
      <c r="F140" s="9" t="s">
        <v>23</v>
      </c>
      <c r="G140" s="10"/>
      <c r="H140" s="7"/>
      <c r="I140" s="7"/>
    </row>
    <row r="141" ht="14.25" customHeight="1">
      <c r="A141" s="7" t="s">
        <v>30</v>
      </c>
      <c r="B141" s="7" t="s">
        <v>30</v>
      </c>
      <c r="C141" s="7" t="s">
        <v>56</v>
      </c>
      <c r="D141" s="7" t="s">
        <v>207</v>
      </c>
      <c r="E141" s="7" t="s">
        <v>41</v>
      </c>
      <c r="F141" s="9" t="s">
        <v>23</v>
      </c>
      <c r="G141" s="10"/>
      <c r="H141" s="7"/>
      <c r="I141" s="7"/>
    </row>
    <row r="142" ht="14.25" customHeight="1">
      <c r="A142" s="7" t="s">
        <v>30</v>
      </c>
      <c r="B142" s="7" t="s">
        <v>30</v>
      </c>
      <c r="C142" s="7" t="s">
        <v>56</v>
      </c>
      <c r="D142" s="7" t="s">
        <v>208</v>
      </c>
      <c r="E142" s="7" t="s">
        <v>41</v>
      </c>
      <c r="F142" s="9" t="s">
        <v>23</v>
      </c>
      <c r="G142" s="10"/>
      <c r="H142" s="7"/>
      <c r="I142" s="7"/>
    </row>
    <row r="143" ht="14.25" customHeight="1">
      <c r="A143" s="7" t="s">
        <v>30</v>
      </c>
      <c r="B143" s="7" t="s">
        <v>30</v>
      </c>
      <c r="C143" s="7" t="s">
        <v>56</v>
      </c>
      <c r="D143" s="7" t="s">
        <v>209</v>
      </c>
      <c r="E143" s="7" t="s">
        <v>41</v>
      </c>
      <c r="F143" s="9" t="s">
        <v>23</v>
      </c>
      <c r="G143" s="10"/>
      <c r="H143" s="7"/>
      <c r="I143" s="7"/>
    </row>
    <row r="144" ht="14.25" customHeight="1">
      <c r="A144" s="7" t="s">
        <v>30</v>
      </c>
      <c r="B144" s="7" t="s">
        <v>30</v>
      </c>
      <c r="C144" s="7" t="s">
        <v>135</v>
      </c>
      <c r="D144" s="7" t="s">
        <v>210</v>
      </c>
      <c r="E144" s="7" t="s">
        <v>41</v>
      </c>
      <c r="F144" s="9" t="s">
        <v>23</v>
      </c>
      <c r="G144" s="10"/>
      <c r="H144" s="7"/>
      <c r="I144" s="7"/>
    </row>
    <row r="145" ht="14.25" customHeight="1">
      <c r="A145" s="7" t="s">
        <v>30</v>
      </c>
      <c r="B145" s="7" t="s">
        <v>30</v>
      </c>
      <c r="C145" s="7" t="s">
        <v>135</v>
      </c>
      <c r="D145" s="7" t="s">
        <v>211</v>
      </c>
      <c r="E145" s="7" t="s">
        <v>41</v>
      </c>
      <c r="F145" s="9" t="s">
        <v>23</v>
      </c>
      <c r="G145" s="10"/>
      <c r="H145" s="7"/>
      <c r="I145" s="7"/>
    </row>
    <row r="146" ht="14.25" customHeight="1">
      <c r="A146" s="7" t="s">
        <v>30</v>
      </c>
      <c r="B146" s="7" t="s">
        <v>30</v>
      </c>
      <c r="C146" s="7" t="s">
        <v>135</v>
      </c>
      <c r="D146" s="7" t="s">
        <v>212</v>
      </c>
      <c r="E146" s="7" t="s">
        <v>41</v>
      </c>
      <c r="F146" s="9" t="s">
        <v>23</v>
      </c>
      <c r="G146" s="10"/>
      <c r="H146" s="7"/>
      <c r="I146" s="7"/>
    </row>
    <row r="147" ht="14.25" customHeight="1">
      <c r="A147" s="7" t="s">
        <v>30</v>
      </c>
      <c r="B147" s="7" t="s">
        <v>30</v>
      </c>
      <c r="C147" s="7" t="s">
        <v>135</v>
      </c>
      <c r="D147" s="7" t="s">
        <v>213</v>
      </c>
      <c r="E147" s="7" t="s">
        <v>41</v>
      </c>
      <c r="F147" s="9" t="s">
        <v>23</v>
      </c>
      <c r="G147" s="10"/>
      <c r="H147" s="7"/>
      <c r="I147" s="7"/>
    </row>
    <row r="148" ht="14.25" customHeight="1">
      <c r="A148" s="7" t="s">
        <v>30</v>
      </c>
      <c r="B148" s="7" t="s">
        <v>30</v>
      </c>
      <c r="C148" s="7" t="s">
        <v>135</v>
      </c>
      <c r="D148" s="7" t="s">
        <v>214</v>
      </c>
      <c r="E148" s="7" t="s">
        <v>41</v>
      </c>
      <c r="F148" s="9" t="s">
        <v>23</v>
      </c>
      <c r="G148" s="10"/>
      <c r="H148" s="7"/>
      <c r="I148" s="7"/>
    </row>
    <row r="149" ht="14.25" customHeight="1">
      <c r="A149" s="7" t="s">
        <v>30</v>
      </c>
      <c r="B149" s="7" t="s">
        <v>30</v>
      </c>
      <c r="C149" s="7" t="s">
        <v>135</v>
      </c>
      <c r="D149" s="7" t="s">
        <v>215</v>
      </c>
      <c r="E149" s="7" t="s">
        <v>41</v>
      </c>
      <c r="F149" s="9" t="s">
        <v>23</v>
      </c>
      <c r="G149" s="10"/>
      <c r="H149" s="7"/>
      <c r="I149" s="7"/>
    </row>
    <row r="150" ht="14.25" customHeight="1">
      <c r="A150" s="7" t="s">
        <v>30</v>
      </c>
      <c r="B150" s="7" t="s">
        <v>30</v>
      </c>
      <c r="C150" s="7" t="s">
        <v>135</v>
      </c>
      <c r="D150" s="7" t="s">
        <v>216</v>
      </c>
      <c r="E150" s="7" t="s">
        <v>41</v>
      </c>
      <c r="F150" s="9" t="s">
        <v>23</v>
      </c>
      <c r="G150" s="10"/>
      <c r="H150" s="7"/>
      <c r="I150" s="7"/>
    </row>
    <row r="151" ht="14.25" customHeight="1">
      <c r="A151" s="7" t="s">
        <v>30</v>
      </c>
      <c r="B151" s="7" t="s">
        <v>30</v>
      </c>
      <c r="C151" s="7" t="s">
        <v>135</v>
      </c>
      <c r="D151" s="7" t="s">
        <v>217</v>
      </c>
      <c r="E151" s="7" t="s">
        <v>41</v>
      </c>
      <c r="F151" s="9" t="s">
        <v>23</v>
      </c>
      <c r="G151" s="10"/>
      <c r="H151" s="7"/>
      <c r="I151" s="7"/>
    </row>
    <row r="152" ht="14.25" customHeight="1">
      <c r="A152" s="7" t="s">
        <v>30</v>
      </c>
      <c r="B152" s="7" t="s">
        <v>30</v>
      </c>
      <c r="C152" s="7" t="s">
        <v>135</v>
      </c>
      <c r="D152" s="7" t="s">
        <v>135</v>
      </c>
      <c r="E152" s="7" t="s">
        <v>41</v>
      </c>
      <c r="F152" s="9" t="s">
        <v>23</v>
      </c>
      <c r="G152" s="10"/>
      <c r="H152" s="7"/>
      <c r="I152" s="7"/>
    </row>
    <row r="153" ht="14.25" customHeight="1">
      <c r="A153" s="7" t="s">
        <v>30</v>
      </c>
      <c r="B153" s="7" t="s">
        <v>30</v>
      </c>
      <c r="C153" s="7" t="s">
        <v>135</v>
      </c>
      <c r="D153" s="7" t="s">
        <v>218</v>
      </c>
      <c r="E153" s="7" t="s">
        <v>41</v>
      </c>
      <c r="F153" s="9" t="s">
        <v>23</v>
      </c>
      <c r="G153" s="10"/>
      <c r="H153" s="7"/>
      <c r="I153" s="7"/>
    </row>
    <row r="154" ht="14.25" customHeight="1">
      <c r="A154" s="7" t="s">
        <v>32</v>
      </c>
      <c r="B154" s="7" t="s">
        <v>32</v>
      </c>
      <c r="C154" s="7" t="s">
        <v>29</v>
      </c>
      <c r="D154" s="7" t="s">
        <v>219</v>
      </c>
      <c r="E154" s="7" t="s">
        <v>41</v>
      </c>
      <c r="F154" s="11" t="s">
        <v>83</v>
      </c>
      <c r="G154" s="12" t="s">
        <v>220</v>
      </c>
      <c r="H154" s="13" t="s">
        <v>221</v>
      </c>
      <c r="I154" s="7"/>
    </row>
    <row r="155" ht="14.25" customHeight="1">
      <c r="A155" s="7" t="s">
        <v>32</v>
      </c>
      <c r="B155" s="7" t="s">
        <v>32</v>
      </c>
      <c r="C155" s="7" t="s">
        <v>29</v>
      </c>
      <c r="D155" s="7" t="s">
        <v>222</v>
      </c>
      <c r="E155" s="7" t="s">
        <v>41</v>
      </c>
      <c r="F155" s="11" t="s">
        <v>83</v>
      </c>
      <c r="G155" s="12" t="s">
        <v>223</v>
      </c>
      <c r="H155" s="13" t="s">
        <v>221</v>
      </c>
      <c r="I155" s="7"/>
    </row>
    <row r="156" ht="14.25" customHeight="1">
      <c r="A156" s="7" t="s">
        <v>32</v>
      </c>
      <c r="B156" s="7" t="s">
        <v>32</v>
      </c>
      <c r="C156" s="7" t="s">
        <v>29</v>
      </c>
      <c r="D156" s="7" t="s">
        <v>224</v>
      </c>
      <c r="E156" s="7" t="s">
        <v>41</v>
      </c>
      <c r="F156" s="11" t="s">
        <v>83</v>
      </c>
      <c r="G156" s="12" t="s">
        <v>220</v>
      </c>
      <c r="H156" s="13" t="s">
        <v>225</v>
      </c>
      <c r="I156" s="7"/>
    </row>
    <row r="157" ht="14.25" customHeight="1">
      <c r="A157" s="7" t="s">
        <v>32</v>
      </c>
      <c r="B157" s="7" t="s">
        <v>32</v>
      </c>
      <c r="C157" s="7" t="s">
        <v>29</v>
      </c>
      <c r="D157" s="7" t="s">
        <v>226</v>
      </c>
      <c r="E157" s="7" t="s">
        <v>41</v>
      </c>
      <c r="F157" s="9" t="s">
        <v>23</v>
      </c>
      <c r="G157" s="10"/>
      <c r="H157" s="7"/>
      <c r="I157" s="7"/>
    </row>
    <row r="158" ht="14.25" customHeight="1">
      <c r="A158" s="7" t="s">
        <v>32</v>
      </c>
      <c r="B158" s="7" t="s">
        <v>32</v>
      </c>
      <c r="C158" s="7" t="s">
        <v>29</v>
      </c>
      <c r="D158" s="7" t="s">
        <v>227</v>
      </c>
      <c r="E158" s="7" t="s">
        <v>41</v>
      </c>
      <c r="F158" s="11" t="s">
        <v>83</v>
      </c>
      <c r="G158" s="12" t="s">
        <v>220</v>
      </c>
      <c r="H158" s="13" t="s">
        <v>85</v>
      </c>
      <c r="I158" s="7"/>
    </row>
    <row r="159" ht="14.25" customHeight="1">
      <c r="A159" s="7" t="s">
        <v>32</v>
      </c>
      <c r="B159" s="7" t="s">
        <v>32</v>
      </c>
      <c r="C159" s="7" t="s">
        <v>29</v>
      </c>
      <c r="D159" s="7" t="s">
        <v>228</v>
      </c>
      <c r="E159" s="7" t="s">
        <v>41</v>
      </c>
      <c r="F159" s="9" t="s">
        <v>23</v>
      </c>
      <c r="G159" s="10"/>
      <c r="H159" s="7"/>
      <c r="I159" s="7"/>
    </row>
    <row r="160" ht="14.25" customHeight="1">
      <c r="A160" s="7" t="s">
        <v>32</v>
      </c>
      <c r="B160" s="7" t="s">
        <v>32</v>
      </c>
      <c r="C160" s="7" t="s">
        <v>29</v>
      </c>
      <c r="D160" s="7" t="s">
        <v>229</v>
      </c>
      <c r="E160" s="7" t="s">
        <v>41</v>
      </c>
      <c r="F160" s="9" t="s">
        <v>23</v>
      </c>
      <c r="G160" s="10"/>
      <c r="H160" s="7"/>
      <c r="I160" s="7"/>
    </row>
    <row r="161" ht="14.25" customHeight="1">
      <c r="A161" s="7" t="s">
        <v>32</v>
      </c>
      <c r="B161" s="7" t="s">
        <v>32</v>
      </c>
      <c r="C161" s="7" t="s">
        <v>29</v>
      </c>
      <c r="D161" s="7" t="s">
        <v>230</v>
      </c>
      <c r="E161" s="7" t="s">
        <v>65</v>
      </c>
      <c r="F161" s="11" t="s">
        <v>83</v>
      </c>
      <c r="G161" s="12" t="s">
        <v>223</v>
      </c>
      <c r="H161" s="13" t="s">
        <v>231</v>
      </c>
      <c r="I161" s="7"/>
    </row>
    <row r="162" ht="14.25" customHeight="1">
      <c r="A162" s="7" t="s">
        <v>32</v>
      </c>
      <c r="B162" s="7" t="s">
        <v>32</v>
      </c>
      <c r="C162" s="7" t="s">
        <v>29</v>
      </c>
      <c r="D162" s="7" t="s">
        <v>232</v>
      </c>
      <c r="E162" s="7" t="s">
        <v>41</v>
      </c>
      <c r="F162" s="11" t="s">
        <v>83</v>
      </c>
      <c r="G162" s="12" t="s">
        <v>220</v>
      </c>
      <c r="H162" s="13" t="s">
        <v>85</v>
      </c>
      <c r="I162" s="7"/>
    </row>
    <row r="163" ht="14.25" customHeight="1">
      <c r="A163" s="7" t="s">
        <v>32</v>
      </c>
      <c r="B163" s="7" t="s">
        <v>32</v>
      </c>
      <c r="C163" s="7" t="s">
        <v>29</v>
      </c>
      <c r="D163" s="7" t="s">
        <v>233</v>
      </c>
      <c r="E163" s="7" t="s">
        <v>41</v>
      </c>
      <c r="F163" s="11" t="s">
        <v>83</v>
      </c>
      <c r="G163" s="12" t="s">
        <v>220</v>
      </c>
      <c r="H163" s="13" t="s">
        <v>85</v>
      </c>
      <c r="I163" s="7"/>
    </row>
    <row r="164" ht="14.25" customHeight="1">
      <c r="A164" s="7" t="s">
        <v>32</v>
      </c>
      <c r="B164" s="7" t="s">
        <v>32</v>
      </c>
      <c r="C164" s="7" t="s">
        <v>29</v>
      </c>
      <c r="D164" s="7" t="s">
        <v>234</v>
      </c>
      <c r="E164" s="7" t="s">
        <v>41</v>
      </c>
      <c r="F164" s="9" t="s">
        <v>23</v>
      </c>
      <c r="G164" s="10"/>
      <c r="H164" s="7"/>
      <c r="I164" s="7"/>
    </row>
    <row r="165" ht="14.25" customHeight="1">
      <c r="A165" s="7" t="s">
        <v>32</v>
      </c>
      <c r="B165" s="7" t="s">
        <v>32</v>
      </c>
      <c r="C165" s="7" t="s">
        <v>78</v>
      </c>
      <c r="D165" s="7" t="s">
        <v>235</v>
      </c>
      <c r="E165" s="7" t="s">
        <v>41</v>
      </c>
      <c r="F165" s="9" t="s">
        <v>23</v>
      </c>
      <c r="G165" s="10"/>
      <c r="H165" s="7"/>
      <c r="I165" s="7"/>
    </row>
    <row r="166" ht="14.25" customHeight="1">
      <c r="A166" s="7" t="s">
        <v>32</v>
      </c>
      <c r="B166" s="7" t="s">
        <v>32</v>
      </c>
      <c r="C166" s="7" t="s">
        <v>78</v>
      </c>
      <c r="D166" s="7" t="s">
        <v>236</v>
      </c>
      <c r="E166" s="7" t="s">
        <v>41</v>
      </c>
      <c r="F166" s="11" t="s">
        <v>83</v>
      </c>
      <c r="G166" s="12" t="s">
        <v>223</v>
      </c>
      <c r="H166" s="13" t="s">
        <v>237</v>
      </c>
      <c r="I166" s="7"/>
    </row>
    <row r="167" ht="14.25" customHeight="1">
      <c r="A167" s="7" t="s">
        <v>32</v>
      </c>
      <c r="B167" s="7" t="s">
        <v>32</v>
      </c>
      <c r="C167" s="7" t="s">
        <v>78</v>
      </c>
      <c r="D167" s="7" t="s">
        <v>238</v>
      </c>
      <c r="E167" s="7" t="s">
        <v>41</v>
      </c>
      <c r="F167" s="9" t="s">
        <v>23</v>
      </c>
      <c r="G167" s="10"/>
      <c r="H167" s="7"/>
      <c r="I167" s="7"/>
    </row>
    <row r="168" ht="14.25" customHeight="1">
      <c r="A168" s="7" t="s">
        <v>32</v>
      </c>
      <c r="B168" s="7" t="s">
        <v>32</v>
      </c>
      <c r="C168" s="7" t="s">
        <v>78</v>
      </c>
      <c r="D168" s="7" t="s">
        <v>78</v>
      </c>
      <c r="E168" s="7" t="s">
        <v>41</v>
      </c>
      <c r="F168" s="11" t="s">
        <v>83</v>
      </c>
      <c r="G168" s="12" t="s">
        <v>223</v>
      </c>
      <c r="H168" s="13" t="s">
        <v>237</v>
      </c>
      <c r="I168" s="7"/>
    </row>
    <row r="169" ht="14.25" customHeight="1">
      <c r="A169" s="7" t="s">
        <v>32</v>
      </c>
      <c r="B169" s="7" t="s">
        <v>32</v>
      </c>
      <c r="C169" s="7" t="s">
        <v>78</v>
      </c>
      <c r="D169" s="7" t="s">
        <v>239</v>
      </c>
      <c r="E169" s="7" t="s">
        <v>41</v>
      </c>
      <c r="F169" s="11" t="s">
        <v>83</v>
      </c>
      <c r="G169" s="12" t="s">
        <v>223</v>
      </c>
      <c r="H169" s="13" t="s">
        <v>237</v>
      </c>
      <c r="I169" s="7"/>
    </row>
    <row r="170" ht="14.25" customHeight="1">
      <c r="A170" s="7" t="s">
        <v>32</v>
      </c>
      <c r="B170" s="7" t="s">
        <v>32</v>
      </c>
      <c r="C170" s="7" t="s">
        <v>78</v>
      </c>
      <c r="D170" s="7" t="s">
        <v>240</v>
      </c>
      <c r="E170" s="7" t="s">
        <v>41</v>
      </c>
      <c r="F170" s="11" t="s">
        <v>83</v>
      </c>
      <c r="G170" s="12" t="s">
        <v>223</v>
      </c>
      <c r="H170" s="13" t="s">
        <v>237</v>
      </c>
      <c r="I170" s="7"/>
    </row>
    <row r="171" ht="14.25" customHeight="1">
      <c r="A171" s="7" t="s">
        <v>32</v>
      </c>
      <c r="B171" s="7" t="s">
        <v>32</v>
      </c>
      <c r="C171" s="7" t="s">
        <v>78</v>
      </c>
      <c r="D171" s="7" t="s">
        <v>241</v>
      </c>
      <c r="E171" s="7" t="s">
        <v>41</v>
      </c>
      <c r="F171" s="11" t="s">
        <v>83</v>
      </c>
      <c r="G171" s="12" t="s">
        <v>223</v>
      </c>
      <c r="H171" s="13" t="s">
        <v>237</v>
      </c>
      <c r="I171" s="7"/>
    </row>
    <row r="172" ht="14.25" customHeight="1">
      <c r="A172" s="7" t="s">
        <v>32</v>
      </c>
      <c r="B172" s="7" t="s">
        <v>32</v>
      </c>
      <c r="C172" s="7" t="s">
        <v>78</v>
      </c>
      <c r="D172" s="7" t="s">
        <v>242</v>
      </c>
      <c r="E172" s="7" t="s">
        <v>41</v>
      </c>
      <c r="F172" s="9" t="s">
        <v>23</v>
      </c>
      <c r="G172" s="10"/>
      <c r="H172" s="7"/>
      <c r="I172" s="7"/>
    </row>
    <row r="173" ht="14.25" customHeight="1">
      <c r="A173" s="7" t="s">
        <v>32</v>
      </c>
      <c r="B173" s="7" t="s">
        <v>32</v>
      </c>
      <c r="C173" s="7" t="s">
        <v>78</v>
      </c>
      <c r="D173" s="7" t="s">
        <v>243</v>
      </c>
      <c r="E173" s="7" t="s">
        <v>41</v>
      </c>
      <c r="F173" s="9" t="s">
        <v>23</v>
      </c>
      <c r="G173" s="10"/>
      <c r="H173" s="7"/>
      <c r="I173" s="7"/>
    </row>
    <row r="174" ht="14.25" customHeight="1">
      <c r="A174" s="7" t="s">
        <v>32</v>
      </c>
      <c r="B174" s="7" t="s">
        <v>32</v>
      </c>
      <c r="C174" s="7" t="s">
        <v>78</v>
      </c>
      <c r="D174" s="7" t="s">
        <v>244</v>
      </c>
      <c r="E174" s="7" t="s">
        <v>41</v>
      </c>
      <c r="F174" s="9" t="s">
        <v>23</v>
      </c>
      <c r="G174" s="10"/>
      <c r="H174" s="7"/>
      <c r="I174" s="7"/>
    </row>
    <row r="175" ht="14.25" customHeight="1">
      <c r="A175" s="7" t="s">
        <v>32</v>
      </c>
      <c r="B175" s="7" t="s">
        <v>32</v>
      </c>
      <c r="C175" s="7" t="s">
        <v>111</v>
      </c>
      <c r="D175" s="7" t="s">
        <v>245</v>
      </c>
      <c r="E175" s="7" t="s">
        <v>41</v>
      </c>
      <c r="F175" s="9" t="s">
        <v>23</v>
      </c>
      <c r="G175" s="10"/>
      <c r="H175" s="7"/>
      <c r="I175" s="7"/>
    </row>
    <row r="176" ht="14.25" customHeight="1">
      <c r="A176" s="7" t="s">
        <v>32</v>
      </c>
      <c r="B176" s="7" t="s">
        <v>32</v>
      </c>
      <c r="C176" s="7" t="s">
        <v>111</v>
      </c>
      <c r="D176" s="7" t="s">
        <v>246</v>
      </c>
      <c r="E176" s="7" t="s">
        <v>41</v>
      </c>
      <c r="F176" s="9" t="s">
        <v>23</v>
      </c>
      <c r="G176" s="10"/>
      <c r="H176" s="7"/>
      <c r="I176" s="7"/>
    </row>
    <row r="177" ht="14.25" customHeight="1">
      <c r="A177" s="7" t="s">
        <v>32</v>
      </c>
      <c r="B177" s="7" t="s">
        <v>32</v>
      </c>
      <c r="C177" s="7" t="s">
        <v>111</v>
      </c>
      <c r="D177" s="7" t="s">
        <v>247</v>
      </c>
      <c r="E177" s="7" t="s">
        <v>41</v>
      </c>
      <c r="F177" s="9" t="s">
        <v>23</v>
      </c>
      <c r="G177" s="10"/>
      <c r="H177" s="7"/>
      <c r="I177" s="7"/>
    </row>
    <row r="178" ht="14.25" customHeight="1">
      <c r="A178" s="7" t="s">
        <v>32</v>
      </c>
      <c r="B178" s="7" t="s">
        <v>32</v>
      </c>
      <c r="C178" s="7" t="s">
        <v>111</v>
      </c>
      <c r="D178" s="7" t="s">
        <v>248</v>
      </c>
      <c r="E178" s="7" t="s">
        <v>41</v>
      </c>
      <c r="F178" s="9" t="s">
        <v>23</v>
      </c>
      <c r="G178" s="10"/>
      <c r="H178" s="7"/>
      <c r="I178" s="7"/>
    </row>
    <row r="179" ht="14.25" customHeight="1">
      <c r="A179" s="7" t="s">
        <v>32</v>
      </c>
      <c r="B179" s="7" t="s">
        <v>32</v>
      </c>
      <c r="C179" s="7" t="s">
        <v>111</v>
      </c>
      <c r="D179" s="7" t="s">
        <v>249</v>
      </c>
      <c r="E179" s="7" t="s">
        <v>41</v>
      </c>
      <c r="F179" s="9" t="s">
        <v>23</v>
      </c>
      <c r="G179" s="10"/>
      <c r="H179" s="7"/>
      <c r="I179" s="7"/>
    </row>
    <row r="180" ht="14.25" customHeight="1">
      <c r="A180" s="7" t="s">
        <v>32</v>
      </c>
      <c r="B180" s="7" t="s">
        <v>32</v>
      </c>
      <c r="C180" s="7" t="s">
        <v>111</v>
      </c>
      <c r="D180" s="7" t="s">
        <v>111</v>
      </c>
      <c r="E180" s="7" t="s">
        <v>41</v>
      </c>
      <c r="F180" s="9" t="s">
        <v>23</v>
      </c>
      <c r="G180" s="10"/>
      <c r="H180" s="7"/>
      <c r="I180" s="7"/>
    </row>
    <row r="181" ht="14.25" customHeight="1">
      <c r="A181" s="7" t="s">
        <v>32</v>
      </c>
      <c r="B181" s="7" t="s">
        <v>32</v>
      </c>
      <c r="C181" s="7" t="s">
        <v>111</v>
      </c>
      <c r="D181" s="7" t="s">
        <v>250</v>
      </c>
      <c r="E181" s="7" t="s">
        <v>41</v>
      </c>
      <c r="F181" s="9" t="s">
        <v>23</v>
      </c>
      <c r="G181" s="10"/>
      <c r="H181" s="7"/>
      <c r="I181" s="7"/>
    </row>
    <row r="182" ht="14.25" customHeight="1">
      <c r="A182" s="7" t="s">
        <v>32</v>
      </c>
      <c r="B182" s="7" t="s">
        <v>32</v>
      </c>
      <c r="C182" s="7" t="s">
        <v>111</v>
      </c>
      <c r="D182" s="7" t="s">
        <v>251</v>
      </c>
      <c r="E182" s="7" t="s">
        <v>41</v>
      </c>
      <c r="F182" s="9" t="s">
        <v>23</v>
      </c>
      <c r="G182" s="10"/>
      <c r="H182" s="7"/>
      <c r="I182" s="7"/>
    </row>
    <row r="183" ht="14.25" customHeight="1">
      <c r="A183" s="7" t="s">
        <v>32</v>
      </c>
      <c r="B183" s="7" t="s">
        <v>32</v>
      </c>
      <c r="C183" s="7" t="s">
        <v>111</v>
      </c>
      <c r="D183" s="7" t="s">
        <v>252</v>
      </c>
      <c r="E183" s="7" t="s">
        <v>41</v>
      </c>
      <c r="F183" s="9" t="s">
        <v>23</v>
      </c>
      <c r="G183" s="10"/>
      <c r="H183" s="7"/>
      <c r="I183" s="7"/>
    </row>
    <row r="184" ht="14.25" customHeight="1">
      <c r="A184" s="7" t="s">
        <v>32</v>
      </c>
      <c r="B184" s="7" t="s">
        <v>32</v>
      </c>
      <c r="C184" s="7" t="s">
        <v>111</v>
      </c>
      <c r="D184" s="7" t="s">
        <v>253</v>
      </c>
      <c r="E184" s="7" t="s">
        <v>41</v>
      </c>
      <c r="F184" s="9" t="s">
        <v>23</v>
      </c>
      <c r="G184" s="10"/>
      <c r="H184" s="7"/>
      <c r="I184" s="7"/>
    </row>
    <row r="185" ht="14.25" customHeight="1">
      <c r="A185" s="7" t="s">
        <v>32</v>
      </c>
      <c r="B185" s="7" t="s">
        <v>32</v>
      </c>
      <c r="C185" s="7" t="s">
        <v>140</v>
      </c>
      <c r="D185" s="7" t="s">
        <v>254</v>
      </c>
      <c r="E185" s="7" t="s">
        <v>41</v>
      </c>
      <c r="F185" s="9" t="s">
        <v>23</v>
      </c>
      <c r="G185" s="10"/>
      <c r="H185" s="7"/>
      <c r="I185" s="7"/>
    </row>
    <row r="186" ht="14.25" customHeight="1">
      <c r="A186" s="7" t="s">
        <v>32</v>
      </c>
      <c r="B186" s="7" t="s">
        <v>32</v>
      </c>
      <c r="C186" s="7" t="s">
        <v>140</v>
      </c>
      <c r="D186" s="7" t="s">
        <v>255</v>
      </c>
      <c r="E186" s="7" t="s">
        <v>41</v>
      </c>
      <c r="F186" s="9" t="s">
        <v>23</v>
      </c>
      <c r="G186" s="10"/>
      <c r="H186" s="7"/>
      <c r="I186" s="7"/>
    </row>
    <row r="187" ht="14.25" customHeight="1">
      <c r="A187" s="7" t="s">
        <v>32</v>
      </c>
      <c r="B187" s="7" t="s">
        <v>32</v>
      </c>
      <c r="C187" s="7" t="s">
        <v>140</v>
      </c>
      <c r="D187" s="7" t="s">
        <v>256</v>
      </c>
      <c r="E187" s="7" t="s">
        <v>41</v>
      </c>
      <c r="F187" s="9" t="s">
        <v>23</v>
      </c>
      <c r="G187" s="10"/>
      <c r="H187" s="7"/>
      <c r="I187" s="7"/>
    </row>
    <row r="188" ht="14.25" customHeight="1">
      <c r="A188" s="7" t="s">
        <v>32</v>
      </c>
      <c r="B188" s="7" t="s">
        <v>32</v>
      </c>
      <c r="C188" s="7" t="s">
        <v>140</v>
      </c>
      <c r="D188" s="7" t="s">
        <v>257</v>
      </c>
      <c r="E188" s="7" t="s">
        <v>41</v>
      </c>
      <c r="F188" s="9" t="s">
        <v>23</v>
      </c>
      <c r="G188" s="10"/>
      <c r="H188" s="7"/>
      <c r="I188" s="7"/>
    </row>
    <row r="189" ht="14.25" customHeight="1">
      <c r="A189" s="7" t="s">
        <v>32</v>
      </c>
      <c r="B189" s="7" t="s">
        <v>32</v>
      </c>
      <c r="C189" s="7" t="s">
        <v>140</v>
      </c>
      <c r="D189" s="7" t="s">
        <v>258</v>
      </c>
      <c r="E189" s="7" t="s">
        <v>41</v>
      </c>
      <c r="F189" s="9" t="s">
        <v>23</v>
      </c>
      <c r="G189" s="10"/>
      <c r="H189" s="7"/>
      <c r="I189" s="7"/>
    </row>
    <row r="190" ht="14.25" customHeight="1">
      <c r="A190" s="7" t="s">
        <v>32</v>
      </c>
      <c r="B190" s="7" t="s">
        <v>32</v>
      </c>
      <c r="C190" s="7" t="s">
        <v>140</v>
      </c>
      <c r="D190" s="7" t="s">
        <v>259</v>
      </c>
      <c r="E190" s="7" t="s">
        <v>41</v>
      </c>
      <c r="F190" s="9" t="s">
        <v>23</v>
      </c>
      <c r="G190" s="10"/>
      <c r="H190" s="7"/>
      <c r="I190" s="7"/>
    </row>
    <row r="191" ht="14.25" customHeight="1">
      <c r="A191" s="7" t="s">
        <v>32</v>
      </c>
      <c r="B191" s="7" t="s">
        <v>32</v>
      </c>
      <c r="C191" s="7" t="s">
        <v>140</v>
      </c>
      <c r="D191" s="7" t="s">
        <v>260</v>
      </c>
      <c r="E191" s="7" t="s">
        <v>41</v>
      </c>
      <c r="F191" s="9" t="s">
        <v>23</v>
      </c>
      <c r="G191" s="10"/>
      <c r="H191" s="7"/>
      <c r="I191" s="7"/>
    </row>
    <row r="192" ht="14.25" customHeight="1">
      <c r="A192" s="7" t="s">
        <v>32</v>
      </c>
      <c r="B192" s="7" t="s">
        <v>32</v>
      </c>
      <c r="C192" s="7" t="s">
        <v>140</v>
      </c>
      <c r="D192" s="7" t="s">
        <v>261</v>
      </c>
      <c r="E192" s="7" t="s">
        <v>41</v>
      </c>
      <c r="F192" s="9" t="s">
        <v>23</v>
      </c>
      <c r="G192" s="10"/>
      <c r="H192" s="7"/>
      <c r="I192" s="7"/>
    </row>
    <row r="193" ht="14.25" customHeight="1">
      <c r="A193" s="7" t="s">
        <v>32</v>
      </c>
      <c r="B193" s="7" t="s">
        <v>32</v>
      </c>
      <c r="C193" s="7" t="s">
        <v>140</v>
      </c>
      <c r="D193" s="7" t="s">
        <v>140</v>
      </c>
      <c r="E193" s="7" t="s">
        <v>41</v>
      </c>
      <c r="F193" s="9" t="s">
        <v>23</v>
      </c>
      <c r="G193" s="10"/>
      <c r="H193" s="7"/>
      <c r="I193" s="7"/>
    </row>
    <row r="194" ht="14.25" customHeight="1">
      <c r="A194" s="7" t="s">
        <v>32</v>
      </c>
      <c r="B194" s="7" t="s">
        <v>32</v>
      </c>
      <c r="C194" s="7" t="s">
        <v>140</v>
      </c>
      <c r="D194" s="7" t="s">
        <v>262</v>
      </c>
      <c r="E194" s="7" t="s">
        <v>41</v>
      </c>
      <c r="F194" s="9" t="s">
        <v>23</v>
      </c>
      <c r="G194" s="10"/>
      <c r="H194" s="7"/>
      <c r="I194" s="7"/>
    </row>
    <row r="195" ht="14.25" customHeight="1">
      <c r="A195" s="7" t="s">
        <v>36</v>
      </c>
      <c r="B195" s="7" t="s">
        <v>36</v>
      </c>
      <c r="C195" s="7" t="s">
        <v>52</v>
      </c>
      <c r="D195" s="7" t="s">
        <v>263</v>
      </c>
      <c r="E195" s="7" t="s">
        <v>179</v>
      </c>
      <c r="F195" s="9" t="s">
        <v>23</v>
      </c>
      <c r="G195" s="10"/>
      <c r="H195" s="7"/>
      <c r="I195" s="7"/>
    </row>
    <row r="196" ht="14.25" customHeight="1">
      <c r="A196" s="7" t="s">
        <v>36</v>
      </c>
      <c r="B196" s="7" t="s">
        <v>36</v>
      </c>
      <c r="C196" s="7" t="s">
        <v>52</v>
      </c>
      <c r="D196" s="7" t="s">
        <v>264</v>
      </c>
      <c r="E196" s="7" t="s">
        <v>41</v>
      </c>
      <c r="F196" s="9" t="s">
        <v>23</v>
      </c>
      <c r="G196" s="10"/>
      <c r="H196" s="7"/>
      <c r="I196" s="7"/>
    </row>
    <row r="197" ht="14.25" customHeight="1">
      <c r="A197" s="7" t="s">
        <v>36</v>
      </c>
      <c r="B197" s="7" t="s">
        <v>36</v>
      </c>
      <c r="C197" s="7" t="s">
        <v>52</v>
      </c>
      <c r="D197" s="7" t="s">
        <v>52</v>
      </c>
      <c r="E197" s="7" t="s">
        <v>41</v>
      </c>
      <c r="F197" s="9" t="s">
        <v>23</v>
      </c>
      <c r="G197" s="10"/>
      <c r="H197" s="7"/>
      <c r="I197" s="7"/>
    </row>
    <row r="198" ht="14.25" customHeight="1">
      <c r="A198" s="7" t="s">
        <v>36</v>
      </c>
      <c r="B198" s="7" t="s">
        <v>36</v>
      </c>
      <c r="C198" s="7" t="s">
        <v>52</v>
      </c>
      <c r="D198" s="7" t="s">
        <v>265</v>
      </c>
      <c r="E198" s="7" t="s">
        <v>41</v>
      </c>
      <c r="F198" s="9" t="s">
        <v>23</v>
      </c>
      <c r="G198" s="10"/>
      <c r="H198" s="7"/>
      <c r="I198" s="7"/>
    </row>
    <row r="199" ht="14.25" customHeight="1">
      <c r="A199" s="7" t="s">
        <v>36</v>
      </c>
      <c r="B199" s="7" t="s">
        <v>36</v>
      </c>
      <c r="C199" s="7" t="s">
        <v>52</v>
      </c>
      <c r="D199" s="7" t="s">
        <v>266</v>
      </c>
      <c r="E199" s="7" t="s">
        <v>41</v>
      </c>
      <c r="F199" s="9" t="s">
        <v>23</v>
      </c>
      <c r="G199" s="10"/>
      <c r="H199" s="7"/>
      <c r="I199" s="7"/>
    </row>
    <row r="200" ht="14.25" customHeight="1">
      <c r="A200" s="7" t="s">
        <v>36</v>
      </c>
      <c r="B200" s="7" t="s">
        <v>36</v>
      </c>
      <c r="C200" s="7" t="s">
        <v>52</v>
      </c>
      <c r="D200" s="7" t="s">
        <v>267</v>
      </c>
      <c r="E200" s="7" t="s">
        <v>41</v>
      </c>
      <c r="F200" s="9" t="s">
        <v>23</v>
      </c>
      <c r="G200" s="10"/>
      <c r="H200" s="7"/>
      <c r="I200" s="7"/>
    </row>
    <row r="201" ht="14.25" customHeight="1">
      <c r="A201" s="7" t="s">
        <v>36</v>
      </c>
      <c r="B201" s="7" t="s">
        <v>36</v>
      </c>
      <c r="C201" s="7" t="s">
        <v>52</v>
      </c>
      <c r="D201" s="7" t="s">
        <v>268</v>
      </c>
      <c r="E201" s="7" t="s">
        <v>41</v>
      </c>
      <c r="F201" s="9" t="s">
        <v>23</v>
      </c>
      <c r="G201" s="10"/>
      <c r="H201" s="7"/>
      <c r="I201" s="7"/>
    </row>
    <row r="202" ht="14.25" customHeight="1">
      <c r="A202" s="7" t="s">
        <v>36</v>
      </c>
      <c r="B202" s="7" t="s">
        <v>36</v>
      </c>
      <c r="C202" s="7" t="s">
        <v>52</v>
      </c>
      <c r="D202" s="7" t="s">
        <v>269</v>
      </c>
      <c r="E202" s="7" t="s">
        <v>179</v>
      </c>
      <c r="F202" s="9" t="s">
        <v>23</v>
      </c>
      <c r="G202" s="10"/>
      <c r="H202" s="7"/>
      <c r="I202" s="7"/>
    </row>
    <row r="203" ht="14.25" customHeight="1">
      <c r="A203" s="7" t="s">
        <v>36</v>
      </c>
      <c r="B203" s="7" t="s">
        <v>36</v>
      </c>
      <c r="C203" s="7" t="s">
        <v>52</v>
      </c>
      <c r="D203" s="7" t="s">
        <v>270</v>
      </c>
      <c r="E203" s="7" t="s">
        <v>41</v>
      </c>
      <c r="F203" s="9" t="s">
        <v>23</v>
      </c>
      <c r="G203" s="10"/>
      <c r="H203" s="7"/>
      <c r="I203" s="7"/>
    </row>
    <row r="204" ht="14.25" customHeight="1">
      <c r="A204" s="7" t="s">
        <v>36</v>
      </c>
      <c r="B204" s="7" t="s">
        <v>36</v>
      </c>
      <c r="C204" s="7" t="s">
        <v>52</v>
      </c>
      <c r="D204" s="7" t="s">
        <v>271</v>
      </c>
      <c r="E204" s="7" t="s">
        <v>41</v>
      </c>
      <c r="F204" s="9" t="s">
        <v>23</v>
      </c>
      <c r="G204" s="10"/>
      <c r="H204" s="7"/>
      <c r="I204" s="7"/>
    </row>
    <row r="205" ht="14.25" customHeight="1">
      <c r="A205" s="7" t="s">
        <v>36</v>
      </c>
      <c r="B205" s="7" t="s">
        <v>36</v>
      </c>
      <c r="C205" s="7" t="s">
        <v>52</v>
      </c>
      <c r="D205" s="7" t="s">
        <v>272</v>
      </c>
      <c r="E205" s="7" t="s">
        <v>41</v>
      </c>
      <c r="F205" s="9" t="s">
        <v>23</v>
      </c>
      <c r="G205" s="10"/>
      <c r="H205" s="7"/>
      <c r="I205" s="7"/>
    </row>
    <row r="206" ht="14.25" customHeight="1">
      <c r="A206" s="7" t="s">
        <v>36</v>
      </c>
      <c r="B206" s="7" t="s">
        <v>36</v>
      </c>
      <c r="C206" s="7" t="s">
        <v>52</v>
      </c>
      <c r="D206" s="7" t="s">
        <v>273</v>
      </c>
      <c r="E206" s="7" t="s">
        <v>65</v>
      </c>
      <c r="F206" s="9" t="s">
        <v>23</v>
      </c>
      <c r="G206" s="10"/>
      <c r="H206" s="7"/>
      <c r="I206" s="7"/>
    </row>
    <row r="207" ht="14.25" customHeight="1">
      <c r="A207" s="7" t="s">
        <v>36</v>
      </c>
      <c r="B207" s="7" t="s">
        <v>36</v>
      </c>
      <c r="C207" s="7" t="s">
        <v>52</v>
      </c>
      <c r="D207" s="7" t="s">
        <v>274</v>
      </c>
      <c r="E207" s="7" t="s">
        <v>41</v>
      </c>
      <c r="F207" s="9" t="s">
        <v>23</v>
      </c>
      <c r="G207" s="10"/>
      <c r="H207" s="7"/>
      <c r="I207" s="7"/>
    </row>
    <row r="208" ht="14.25" customHeight="1">
      <c r="A208" s="7" t="s">
        <v>36</v>
      </c>
      <c r="B208" s="7" t="s">
        <v>36</v>
      </c>
      <c r="C208" s="7" t="s">
        <v>97</v>
      </c>
      <c r="D208" s="7" t="s">
        <v>275</v>
      </c>
      <c r="E208" s="7" t="s">
        <v>179</v>
      </c>
      <c r="F208" s="9" t="s">
        <v>23</v>
      </c>
      <c r="G208" s="10"/>
      <c r="H208" s="7"/>
      <c r="I208" s="7"/>
    </row>
    <row r="209" ht="14.25" customHeight="1">
      <c r="A209" s="7" t="s">
        <v>36</v>
      </c>
      <c r="B209" s="7" t="s">
        <v>36</v>
      </c>
      <c r="C209" s="7" t="s">
        <v>97</v>
      </c>
      <c r="D209" s="7" t="s">
        <v>276</v>
      </c>
      <c r="E209" s="7" t="s">
        <v>41</v>
      </c>
      <c r="F209" s="9" t="s">
        <v>23</v>
      </c>
      <c r="G209" s="10"/>
      <c r="H209" s="7"/>
      <c r="I209" s="7"/>
    </row>
    <row r="210" ht="14.25" customHeight="1">
      <c r="A210" s="7" t="s">
        <v>36</v>
      </c>
      <c r="B210" s="7" t="s">
        <v>36</v>
      </c>
      <c r="C210" s="7" t="s">
        <v>97</v>
      </c>
      <c r="D210" s="7" t="s">
        <v>277</v>
      </c>
      <c r="E210" s="7" t="s">
        <v>41</v>
      </c>
      <c r="F210" s="9" t="s">
        <v>23</v>
      </c>
      <c r="G210" s="10"/>
      <c r="H210" s="7"/>
      <c r="I210" s="7"/>
    </row>
    <row r="211" ht="14.25" customHeight="1">
      <c r="A211" s="7" t="s">
        <v>36</v>
      </c>
      <c r="B211" s="7" t="s">
        <v>36</v>
      </c>
      <c r="C211" s="7" t="s">
        <v>97</v>
      </c>
      <c r="D211" s="7" t="s">
        <v>278</v>
      </c>
      <c r="E211" s="7" t="s">
        <v>41</v>
      </c>
      <c r="F211" s="9" t="s">
        <v>23</v>
      </c>
      <c r="G211" s="10"/>
      <c r="H211" s="7"/>
      <c r="I211" s="7"/>
    </row>
    <row r="212" ht="14.25" customHeight="1">
      <c r="A212" s="7" t="s">
        <v>36</v>
      </c>
      <c r="B212" s="7" t="s">
        <v>36</v>
      </c>
      <c r="C212" s="7" t="s">
        <v>97</v>
      </c>
      <c r="D212" s="7" t="s">
        <v>279</v>
      </c>
      <c r="E212" s="7" t="s">
        <v>41</v>
      </c>
      <c r="F212" s="9" t="s">
        <v>23</v>
      </c>
      <c r="G212" s="10"/>
      <c r="H212" s="7"/>
      <c r="I212" s="7"/>
    </row>
    <row r="213" ht="14.25" customHeight="1">
      <c r="A213" s="7" t="s">
        <v>36</v>
      </c>
      <c r="B213" s="7" t="s">
        <v>36</v>
      </c>
      <c r="C213" s="7" t="s">
        <v>97</v>
      </c>
      <c r="D213" s="7" t="s">
        <v>280</v>
      </c>
      <c r="E213" s="7" t="s">
        <v>41</v>
      </c>
      <c r="F213" s="9" t="s">
        <v>23</v>
      </c>
      <c r="G213" s="10"/>
      <c r="H213" s="7"/>
      <c r="I213" s="7"/>
    </row>
    <row r="214" ht="14.25" customHeight="1">
      <c r="A214" s="7" t="s">
        <v>36</v>
      </c>
      <c r="B214" s="7" t="s">
        <v>36</v>
      </c>
      <c r="C214" s="7" t="s">
        <v>97</v>
      </c>
      <c r="D214" s="7" t="s">
        <v>281</v>
      </c>
      <c r="E214" s="7" t="s">
        <v>41</v>
      </c>
      <c r="F214" s="11" t="s">
        <v>83</v>
      </c>
      <c r="G214" s="12" t="s">
        <v>220</v>
      </c>
      <c r="H214" s="13" t="s">
        <v>85</v>
      </c>
      <c r="I214" s="7"/>
    </row>
    <row r="215" ht="14.25" customHeight="1">
      <c r="A215" s="7" t="s">
        <v>36</v>
      </c>
      <c r="B215" s="7" t="s">
        <v>36</v>
      </c>
      <c r="C215" s="7" t="s">
        <v>97</v>
      </c>
      <c r="D215" s="7" t="s">
        <v>282</v>
      </c>
      <c r="E215" s="7" t="s">
        <v>41</v>
      </c>
      <c r="F215" s="11" t="s">
        <v>83</v>
      </c>
      <c r="G215" s="12" t="s">
        <v>220</v>
      </c>
      <c r="H215" s="13" t="s">
        <v>85</v>
      </c>
      <c r="I215" s="7"/>
    </row>
    <row r="216" ht="14.25" customHeight="1">
      <c r="A216" s="7" t="s">
        <v>36</v>
      </c>
      <c r="B216" s="7" t="s">
        <v>36</v>
      </c>
      <c r="C216" s="7" t="s">
        <v>97</v>
      </c>
      <c r="D216" s="7" t="s">
        <v>283</v>
      </c>
      <c r="E216" s="7" t="s">
        <v>41</v>
      </c>
      <c r="F216" s="9" t="s">
        <v>23</v>
      </c>
      <c r="G216" s="10"/>
      <c r="H216" s="7"/>
      <c r="I216" s="7"/>
    </row>
    <row r="217" ht="14.25" customHeight="1">
      <c r="A217" s="7" t="s">
        <v>36</v>
      </c>
      <c r="B217" s="7" t="s">
        <v>36</v>
      </c>
      <c r="C217" s="7" t="s">
        <v>97</v>
      </c>
      <c r="D217" s="7" t="s">
        <v>284</v>
      </c>
      <c r="E217" s="7" t="s">
        <v>41</v>
      </c>
      <c r="F217" s="9" t="s">
        <v>23</v>
      </c>
      <c r="G217" s="10"/>
      <c r="H217" s="7"/>
      <c r="I217" s="7"/>
    </row>
    <row r="218" ht="14.25" customHeight="1">
      <c r="A218" s="7" t="s">
        <v>36</v>
      </c>
      <c r="B218" s="7" t="s">
        <v>36</v>
      </c>
      <c r="C218" s="7" t="s">
        <v>97</v>
      </c>
      <c r="D218" s="7" t="s">
        <v>285</v>
      </c>
      <c r="E218" s="7" t="s">
        <v>41</v>
      </c>
      <c r="F218" s="9" t="s">
        <v>23</v>
      </c>
      <c r="G218" s="10"/>
      <c r="H218" s="7"/>
      <c r="I218" s="7"/>
    </row>
    <row r="219" ht="14.25" customHeight="1">
      <c r="A219" s="7" t="s">
        <v>36</v>
      </c>
      <c r="B219" s="7" t="s">
        <v>36</v>
      </c>
      <c r="C219" s="7" t="s">
        <v>106</v>
      </c>
      <c r="D219" s="7" t="s">
        <v>286</v>
      </c>
      <c r="E219" s="7" t="s">
        <v>41</v>
      </c>
      <c r="F219" s="9" t="s">
        <v>23</v>
      </c>
      <c r="G219" s="10"/>
      <c r="H219" s="7"/>
      <c r="I219" s="7"/>
    </row>
    <row r="220" ht="14.25" customHeight="1">
      <c r="A220" s="7" t="s">
        <v>36</v>
      </c>
      <c r="B220" s="7" t="s">
        <v>36</v>
      </c>
      <c r="C220" s="7" t="s">
        <v>106</v>
      </c>
      <c r="D220" s="7" t="s">
        <v>287</v>
      </c>
      <c r="E220" s="7" t="s">
        <v>41</v>
      </c>
      <c r="F220" s="9" t="s">
        <v>23</v>
      </c>
      <c r="G220" s="10"/>
      <c r="H220" s="7"/>
      <c r="I220" s="7"/>
    </row>
    <row r="221" ht="14.25" customHeight="1">
      <c r="A221" s="7" t="s">
        <v>36</v>
      </c>
      <c r="B221" s="7" t="s">
        <v>36</v>
      </c>
      <c r="C221" s="7" t="s">
        <v>106</v>
      </c>
      <c r="D221" s="7" t="s">
        <v>288</v>
      </c>
      <c r="E221" s="7" t="s">
        <v>41</v>
      </c>
      <c r="F221" s="9" t="s">
        <v>23</v>
      </c>
      <c r="G221" s="10"/>
      <c r="H221" s="7"/>
      <c r="I221" s="7"/>
    </row>
    <row r="222" ht="14.25" customHeight="1">
      <c r="A222" s="7" t="s">
        <v>36</v>
      </c>
      <c r="B222" s="7" t="s">
        <v>36</v>
      </c>
      <c r="C222" s="7" t="s">
        <v>106</v>
      </c>
      <c r="D222" s="7" t="s">
        <v>106</v>
      </c>
      <c r="E222" s="7" t="s">
        <v>41</v>
      </c>
      <c r="F222" s="11" t="s">
        <v>83</v>
      </c>
      <c r="G222" s="12" t="s">
        <v>84</v>
      </c>
      <c r="H222" s="13" t="s">
        <v>85</v>
      </c>
      <c r="I222" s="7"/>
    </row>
    <row r="223" ht="14.25" customHeight="1">
      <c r="A223" s="7" t="s">
        <v>36</v>
      </c>
      <c r="B223" s="7" t="s">
        <v>36</v>
      </c>
      <c r="C223" s="7" t="s">
        <v>106</v>
      </c>
      <c r="D223" s="7" t="s">
        <v>289</v>
      </c>
      <c r="E223" s="7" t="s">
        <v>41</v>
      </c>
      <c r="F223" s="11" t="s">
        <v>83</v>
      </c>
      <c r="G223" s="12" t="s">
        <v>84</v>
      </c>
      <c r="H223" s="13" t="s">
        <v>85</v>
      </c>
      <c r="I223" s="7"/>
    </row>
    <row r="224" ht="14.25" customHeight="1">
      <c r="A224" s="7" t="s">
        <v>36</v>
      </c>
      <c r="B224" s="7" t="s">
        <v>36</v>
      </c>
      <c r="C224" s="7" t="s">
        <v>106</v>
      </c>
      <c r="D224" s="7" t="s">
        <v>290</v>
      </c>
      <c r="E224" s="7" t="s">
        <v>41</v>
      </c>
      <c r="F224" s="9" t="s">
        <v>23</v>
      </c>
      <c r="G224" s="10"/>
      <c r="H224" s="7"/>
      <c r="I224" s="7"/>
    </row>
    <row r="225" ht="14.25" customHeight="1">
      <c r="A225" s="7" t="s">
        <v>36</v>
      </c>
      <c r="B225" s="7" t="s">
        <v>36</v>
      </c>
      <c r="C225" s="7" t="s">
        <v>106</v>
      </c>
      <c r="D225" s="7" t="s">
        <v>291</v>
      </c>
      <c r="E225" s="7" t="s">
        <v>41</v>
      </c>
      <c r="F225" s="9" t="s">
        <v>23</v>
      </c>
      <c r="G225" s="10"/>
      <c r="H225" s="7"/>
      <c r="I225" s="7"/>
    </row>
    <row r="226" ht="14.25" customHeight="1">
      <c r="A226" s="7" t="s">
        <v>36</v>
      </c>
      <c r="B226" s="7" t="s">
        <v>36</v>
      </c>
      <c r="C226" s="7" t="s">
        <v>106</v>
      </c>
      <c r="D226" s="7" t="s">
        <v>292</v>
      </c>
      <c r="E226" s="7" t="s">
        <v>41</v>
      </c>
      <c r="F226" s="9" t="s">
        <v>23</v>
      </c>
      <c r="G226" s="10"/>
      <c r="H226" s="7"/>
      <c r="I226" s="7"/>
    </row>
    <row r="227" ht="14.25" customHeight="1">
      <c r="A227" s="7" t="s">
        <v>36</v>
      </c>
      <c r="B227" s="7" t="s">
        <v>36</v>
      </c>
      <c r="C227" s="7" t="s">
        <v>106</v>
      </c>
      <c r="D227" s="7" t="s">
        <v>293</v>
      </c>
      <c r="E227" s="7" t="s">
        <v>41</v>
      </c>
      <c r="F227" s="9" t="s">
        <v>23</v>
      </c>
      <c r="G227" s="10"/>
      <c r="H227" s="7"/>
      <c r="I227" s="7"/>
    </row>
    <row r="228" ht="14.25" customHeight="1">
      <c r="A228" s="7" t="s">
        <v>36</v>
      </c>
      <c r="B228" s="7" t="s">
        <v>36</v>
      </c>
      <c r="C228" s="7" t="s">
        <v>106</v>
      </c>
      <c r="D228" s="7" t="s">
        <v>294</v>
      </c>
      <c r="E228" s="7" t="s">
        <v>65</v>
      </c>
      <c r="F228" s="11" t="s">
        <v>83</v>
      </c>
      <c r="G228" s="12" t="s">
        <v>84</v>
      </c>
      <c r="H228" s="13" t="s">
        <v>85</v>
      </c>
      <c r="I228" s="7"/>
    </row>
    <row r="229" ht="14.25" customHeight="1">
      <c r="A229" s="7" t="s">
        <v>36</v>
      </c>
      <c r="B229" s="7" t="s">
        <v>36</v>
      </c>
      <c r="C229" s="7" t="s">
        <v>106</v>
      </c>
      <c r="D229" s="7" t="s">
        <v>295</v>
      </c>
      <c r="E229" s="7" t="s">
        <v>179</v>
      </c>
      <c r="F229" s="9" t="s">
        <v>23</v>
      </c>
      <c r="G229" s="10"/>
      <c r="H229" s="7"/>
      <c r="I229" s="7"/>
    </row>
    <row r="230" ht="14.25" customHeight="1">
      <c r="A230" s="7" t="s">
        <v>36</v>
      </c>
      <c r="B230" s="7" t="s">
        <v>36</v>
      </c>
      <c r="C230" s="7" t="s">
        <v>106</v>
      </c>
      <c r="D230" s="7" t="s">
        <v>296</v>
      </c>
      <c r="E230" s="7" t="s">
        <v>41</v>
      </c>
      <c r="F230" s="9" t="s">
        <v>23</v>
      </c>
      <c r="G230" s="10"/>
      <c r="H230" s="7"/>
      <c r="I230" s="7"/>
    </row>
    <row r="231" ht="14.25" customHeight="1">
      <c r="A231" s="7" t="s">
        <v>36</v>
      </c>
      <c r="B231" s="7" t="s">
        <v>36</v>
      </c>
      <c r="C231" s="7" t="s">
        <v>124</v>
      </c>
      <c r="D231" s="7" t="s">
        <v>297</v>
      </c>
      <c r="E231" s="7" t="s">
        <v>41</v>
      </c>
      <c r="F231" s="9" t="s">
        <v>23</v>
      </c>
      <c r="G231" s="10"/>
      <c r="H231" s="7"/>
      <c r="I231" s="7"/>
    </row>
    <row r="232" ht="14.25" customHeight="1">
      <c r="A232" s="7" t="s">
        <v>36</v>
      </c>
      <c r="B232" s="7" t="s">
        <v>36</v>
      </c>
      <c r="C232" s="7" t="s">
        <v>124</v>
      </c>
      <c r="D232" s="7" t="s">
        <v>298</v>
      </c>
      <c r="E232" s="7" t="s">
        <v>41</v>
      </c>
      <c r="F232" s="9" t="s">
        <v>23</v>
      </c>
      <c r="G232" s="10"/>
      <c r="H232" s="7"/>
      <c r="I232" s="7"/>
    </row>
    <row r="233" ht="14.25" customHeight="1">
      <c r="A233" s="7" t="s">
        <v>36</v>
      </c>
      <c r="B233" s="7" t="s">
        <v>36</v>
      </c>
      <c r="C233" s="7" t="s">
        <v>124</v>
      </c>
      <c r="D233" s="7" t="s">
        <v>299</v>
      </c>
      <c r="E233" s="7" t="s">
        <v>41</v>
      </c>
      <c r="F233" s="9" t="s">
        <v>23</v>
      </c>
      <c r="G233" s="10"/>
      <c r="H233" s="7"/>
      <c r="I233" s="7"/>
    </row>
    <row r="234" ht="14.25" customHeight="1">
      <c r="A234" s="7" t="s">
        <v>36</v>
      </c>
      <c r="B234" s="7" t="s">
        <v>36</v>
      </c>
      <c r="C234" s="7" t="s">
        <v>124</v>
      </c>
      <c r="D234" s="7" t="s">
        <v>300</v>
      </c>
      <c r="E234" s="7" t="s">
        <v>41</v>
      </c>
      <c r="F234" s="9" t="s">
        <v>23</v>
      </c>
      <c r="G234" s="10"/>
      <c r="H234" s="7"/>
      <c r="I234" s="7"/>
    </row>
    <row r="235" ht="14.25" customHeight="1">
      <c r="A235" s="7" t="s">
        <v>36</v>
      </c>
      <c r="B235" s="7" t="s">
        <v>36</v>
      </c>
      <c r="C235" s="7" t="s">
        <v>124</v>
      </c>
      <c r="D235" s="7" t="s">
        <v>301</v>
      </c>
      <c r="E235" s="7" t="s">
        <v>41</v>
      </c>
      <c r="F235" s="9" t="s">
        <v>23</v>
      </c>
      <c r="G235" s="10"/>
      <c r="H235" s="7"/>
      <c r="I235" s="7"/>
    </row>
    <row r="236" ht="14.25" customHeight="1">
      <c r="A236" s="7" t="s">
        <v>36</v>
      </c>
      <c r="B236" s="7" t="s">
        <v>36</v>
      </c>
      <c r="C236" s="7" t="s">
        <v>124</v>
      </c>
      <c r="D236" s="7" t="s">
        <v>302</v>
      </c>
      <c r="E236" s="7" t="s">
        <v>41</v>
      </c>
      <c r="F236" s="9" t="s">
        <v>23</v>
      </c>
      <c r="G236" s="10"/>
      <c r="H236" s="7"/>
      <c r="I236" s="7"/>
    </row>
    <row r="237" ht="14.25" customHeight="1">
      <c r="A237" s="7" t="s">
        <v>36</v>
      </c>
      <c r="B237" s="7" t="s">
        <v>36</v>
      </c>
      <c r="C237" s="7" t="s">
        <v>124</v>
      </c>
      <c r="D237" s="7" t="s">
        <v>303</v>
      </c>
      <c r="E237" s="7" t="s">
        <v>41</v>
      </c>
      <c r="F237" s="9" t="s">
        <v>23</v>
      </c>
      <c r="G237" s="10"/>
      <c r="H237" s="7"/>
      <c r="I237" s="7"/>
    </row>
    <row r="238" ht="14.25" customHeight="1">
      <c r="A238" s="7" t="s">
        <v>36</v>
      </c>
      <c r="B238" s="7" t="s">
        <v>36</v>
      </c>
      <c r="C238" s="7" t="s">
        <v>124</v>
      </c>
      <c r="D238" s="7" t="s">
        <v>304</v>
      </c>
      <c r="E238" s="7" t="s">
        <v>41</v>
      </c>
      <c r="F238" s="9" t="s">
        <v>23</v>
      </c>
      <c r="G238" s="10"/>
      <c r="H238" s="7"/>
      <c r="I238" s="7"/>
    </row>
    <row r="239" ht="14.25" customHeight="1">
      <c r="A239" s="7" t="s">
        <v>36</v>
      </c>
      <c r="B239" s="7" t="s">
        <v>36</v>
      </c>
      <c r="C239" s="7" t="s">
        <v>124</v>
      </c>
      <c r="D239" s="7" t="s">
        <v>305</v>
      </c>
      <c r="E239" s="7" t="s">
        <v>41</v>
      </c>
      <c r="F239" s="9" t="s">
        <v>23</v>
      </c>
      <c r="G239" s="10"/>
      <c r="H239" s="7"/>
      <c r="I239" s="7"/>
    </row>
    <row r="240" ht="14.25" customHeight="1">
      <c r="A240" s="7" t="s">
        <v>36</v>
      </c>
      <c r="B240" s="7" t="s">
        <v>36</v>
      </c>
      <c r="C240" s="7" t="s">
        <v>124</v>
      </c>
      <c r="D240" s="7" t="s">
        <v>306</v>
      </c>
      <c r="E240" s="7" t="s">
        <v>41</v>
      </c>
      <c r="F240" s="11" t="s">
        <v>83</v>
      </c>
      <c r="G240" s="12" t="s">
        <v>220</v>
      </c>
      <c r="H240" s="13" t="s">
        <v>85</v>
      </c>
      <c r="I240" s="7"/>
    </row>
    <row r="241" ht="14.25" customHeight="1">
      <c r="A241" s="7" t="s">
        <v>36</v>
      </c>
      <c r="B241" s="7" t="s">
        <v>36</v>
      </c>
      <c r="C241" s="7" t="s">
        <v>124</v>
      </c>
      <c r="D241" s="7" t="s">
        <v>307</v>
      </c>
      <c r="E241" s="7" t="s">
        <v>179</v>
      </c>
      <c r="F241" s="9" t="s">
        <v>23</v>
      </c>
      <c r="G241" s="10"/>
      <c r="H241" s="7"/>
      <c r="I241" s="7"/>
    </row>
    <row r="242" ht="14.25" customHeight="1">
      <c r="A242" s="7" t="s">
        <v>39</v>
      </c>
      <c r="B242" s="7" t="s">
        <v>39</v>
      </c>
      <c r="C242" s="7" t="s">
        <v>12</v>
      </c>
      <c r="D242" s="7" t="s">
        <v>308</v>
      </c>
      <c r="E242" s="7" t="s">
        <v>41</v>
      </c>
      <c r="F242" s="9" t="s">
        <v>23</v>
      </c>
      <c r="G242" s="10"/>
      <c r="H242" s="7"/>
      <c r="I242" s="7"/>
    </row>
    <row r="243" ht="14.25" customHeight="1">
      <c r="A243" s="7" t="s">
        <v>39</v>
      </c>
      <c r="B243" s="7" t="s">
        <v>39</v>
      </c>
      <c r="C243" s="7" t="s">
        <v>12</v>
      </c>
      <c r="D243" s="7" t="s">
        <v>12</v>
      </c>
      <c r="E243" s="7" t="s">
        <v>41</v>
      </c>
      <c r="F243" s="9" t="s">
        <v>23</v>
      </c>
      <c r="G243" s="10"/>
      <c r="H243" s="7"/>
      <c r="I243" s="7"/>
    </row>
    <row r="244" ht="14.25" customHeight="1">
      <c r="A244" s="7" t="s">
        <v>39</v>
      </c>
      <c r="B244" s="7" t="s">
        <v>39</v>
      </c>
      <c r="C244" s="7" t="s">
        <v>12</v>
      </c>
      <c r="D244" s="7" t="s">
        <v>309</v>
      </c>
      <c r="E244" s="7" t="s">
        <v>179</v>
      </c>
      <c r="F244" s="9" t="s">
        <v>23</v>
      </c>
      <c r="G244" s="10"/>
      <c r="H244" s="7"/>
      <c r="I244" s="7"/>
    </row>
    <row r="245" ht="14.25" customHeight="1">
      <c r="A245" s="7" t="s">
        <v>39</v>
      </c>
      <c r="B245" s="7" t="s">
        <v>39</v>
      </c>
      <c r="C245" s="7" t="s">
        <v>12</v>
      </c>
      <c r="D245" s="7" t="s">
        <v>310</v>
      </c>
      <c r="E245" s="7" t="s">
        <v>41</v>
      </c>
      <c r="F245" s="9" t="s">
        <v>23</v>
      </c>
      <c r="G245" s="10"/>
      <c r="H245" s="7"/>
      <c r="I245" s="7"/>
    </row>
    <row r="246" ht="14.25" customHeight="1">
      <c r="A246" s="7" t="s">
        <v>39</v>
      </c>
      <c r="B246" s="7" t="s">
        <v>39</v>
      </c>
      <c r="C246" s="7" t="s">
        <v>12</v>
      </c>
      <c r="D246" s="7" t="s">
        <v>311</v>
      </c>
      <c r="E246" s="7" t="s">
        <v>41</v>
      </c>
      <c r="F246" s="9" t="s">
        <v>23</v>
      </c>
      <c r="G246" s="10"/>
      <c r="H246" s="7"/>
      <c r="I246" s="7"/>
    </row>
    <row r="247" ht="14.25" customHeight="1">
      <c r="A247" s="7" t="s">
        <v>39</v>
      </c>
      <c r="B247" s="7" t="s">
        <v>39</v>
      </c>
      <c r="C247" s="7" t="s">
        <v>12</v>
      </c>
      <c r="D247" s="7" t="s">
        <v>312</v>
      </c>
      <c r="E247" s="7" t="s">
        <v>41</v>
      </c>
      <c r="F247" s="9" t="s">
        <v>23</v>
      </c>
      <c r="G247" s="10"/>
      <c r="H247" s="7"/>
      <c r="I247" s="7"/>
    </row>
    <row r="248" ht="14.25" customHeight="1">
      <c r="A248" s="7" t="s">
        <v>39</v>
      </c>
      <c r="B248" s="7" t="s">
        <v>39</v>
      </c>
      <c r="C248" s="7" t="s">
        <v>12</v>
      </c>
      <c r="D248" s="7" t="s">
        <v>313</v>
      </c>
      <c r="E248" s="7" t="s">
        <v>41</v>
      </c>
      <c r="F248" s="9" t="s">
        <v>23</v>
      </c>
      <c r="G248" s="10"/>
      <c r="H248" s="7"/>
      <c r="I248" s="7"/>
    </row>
    <row r="249" ht="14.25" customHeight="1">
      <c r="A249" s="7" t="s">
        <v>39</v>
      </c>
      <c r="B249" s="7" t="s">
        <v>39</v>
      </c>
      <c r="C249" s="7" t="s">
        <v>12</v>
      </c>
      <c r="D249" s="7" t="s">
        <v>314</v>
      </c>
      <c r="E249" s="7" t="s">
        <v>41</v>
      </c>
      <c r="F249" s="9" t="s">
        <v>23</v>
      </c>
      <c r="G249" s="10"/>
      <c r="H249" s="7"/>
      <c r="I249" s="7"/>
    </row>
    <row r="250" ht="14.25" customHeight="1">
      <c r="A250" s="7" t="s">
        <v>39</v>
      </c>
      <c r="B250" s="7" t="s">
        <v>39</v>
      </c>
      <c r="C250" s="7" t="s">
        <v>12</v>
      </c>
      <c r="D250" s="7" t="s">
        <v>315</v>
      </c>
      <c r="E250" s="7" t="s">
        <v>41</v>
      </c>
      <c r="F250" s="9" t="s">
        <v>23</v>
      </c>
      <c r="G250" s="10"/>
      <c r="H250" s="7"/>
      <c r="I250" s="7"/>
    </row>
    <row r="251" ht="14.25" customHeight="1">
      <c r="A251" s="7" t="s">
        <v>39</v>
      </c>
      <c r="B251" s="7" t="s">
        <v>39</v>
      </c>
      <c r="C251" s="7" t="s">
        <v>12</v>
      </c>
      <c r="D251" s="7" t="s">
        <v>316</v>
      </c>
      <c r="E251" s="7" t="s">
        <v>41</v>
      </c>
      <c r="F251" s="9" t="s">
        <v>23</v>
      </c>
      <c r="G251" s="10"/>
      <c r="H251" s="7"/>
      <c r="I251" s="7"/>
    </row>
    <row r="252" ht="14.25" customHeight="1">
      <c r="A252" s="7" t="s">
        <v>39</v>
      </c>
      <c r="B252" s="7" t="s">
        <v>39</v>
      </c>
      <c r="C252" s="7" t="s">
        <v>89</v>
      </c>
      <c r="D252" s="7" t="s">
        <v>317</v>
      </c>
      <c r="E252" s="7" t="s">
        <v>41</v>
      </c>
      <c r="F252" s="9" t="s">
        <v>23</v>
      </c>
      <c r="G252" s="10"/>
      <c r="H252" s="7"/>
      <c r="I252" s="7"/>
    </row>
    <row r="253" ht="14.25" customHeight="1">
      <c r="A253" s="7" t="s">
        <v>39</v>
      </c>
      <c r="B253" s="7" t="s">
        <v>39</v>
      </c>
      <c r="C253" s="7" t="s">
        <v>89</v>
      </c>
      <c r="D253" s="7" t="s">
        <v>318</v>
      </c>
      <c r="E253" s="7" t="s">
        <v>41</v>
      </c>
      <c r="F253" s="9" t="s">
        <v>23</v>
      </c>
      <c r="G253" s="10"/>
      <c r="H253" s="7"/>
      <c r="I253" s="7"/>
    </row>
    <row r="254" ht="14.25" customHeight="1">
      <c r="A254" s="7" t="s">
        <v>39</v>
      </c>
      <c r="B254" s="7" t="s">
        <v>39</v>
      </c>
      <c r="C254" s="7" t="s">
        <v>89</v>
      </c>
      <c r="D254" s="7" t="s">
        <v>319</v>
      </c>
      <c r="E254" s="7" t="s">
        <v>41</v>
      </c>
      <c r="F254" s="11" t="s">
        <v>83</v>
      </c>
      <c r="G254" s="12" t="s">
        <v>223</v>
      </c>
      <c r="H254" s="13" t="s">
        <v>320</v>
      </c>
      <c r="I254" s="7"/>
    </row>
    <row r="255" ht="14.25" customHeight="1">
      <c r="A255" s="7" t="s">
        <v>39</v>
      </c>
      <c r="B255" s="7" t="s">
        <v>39</v>
      </c>
      <c r="C255" s="7" t="s">
        <v>89</v>
      </c>
      <c r="D255" s="7" t="s">
        <v>321</v>
      </c>
      <c r="E255" s="7" t="s">
        <v>94</v>
      </c>
      <c r="F255" s="11" t="s">
        <v>83</v>
      </c>
      <c r="G255" s="12" t="s">
        <v>223</v>
      </c>
      <c r="H255" s="13" t="s">
        <v>320</v>
      </c>
      <c r="I255" s="7"/>
    </row>
    <row r="256" ht="14.25" customHeight="1">
      <c r="A256" s="7" t="s">
        <v>39</v>
      </c>
      <c r="B256" s="7" t="s">
        <v>39</v>
      </c>
      <c r="C256" s="7" t="s">
        <v>89</v>
      </c>
      <c r="D256" s="7" t="s">
        <v>322</v>
      </c>
      <c r="E256" s="7" t="s">
        <v>41</v>
      </c>
      <c r="F256" s="9" t="s">
        <v>23</v>
      </c>
      <c r="G256" s="10"/>
      <c r="H256" s="7"/>
      <c r="I256" s="7"/>
    </row>
    <row r="257" ht="14.25" customHeight="1">
      <c r="A257" s="7" t="s">
        <v>39</v>
      </c>
      <c r="B257" s="7" t="s">
        <v>39</v>
      </c>
      <c r="C257" s="7" t="s">
        <v>89</v>
      </c>
      <c r="D257" s="7" t="s">
        <v>323</v>
      </c>
      <c r="E257" s="7" t="s">
        <v>41</v>
      </c>
      <c r="F257" s="11" t="s">
        <v>83</v>
      </c>
      <c r="G257" s="12" t="s">
        <v>223</v>
      </c>
      <c r="H257" s="13" t="s">
        <v>320</v>
      </c>
      <c r="I257" s="7"/>
    </row>
    <row r="258" ht="14.25" customHeight="1">
      <c r="A258" s="7" t="s">
        <v>39</v>
      </c>
      <c r="B258" s="7" t="s">
        <v>39</v>
      </c>
      <c r="C258" s="7" t="s">
        <v>89</v>
      </c>
      <c r="D258" s="7" t="s">
        <v>324</v>
      </c>
      <c r="E258" s="7" t="s">
        <v>41</v>
      </c>
      <c r="F258" s="11" t="s">
        <v>83</v>
      </c>
      <c r="G258" s="12" t="s">
        <v>223</v>
      </c>
      <c r="H258" s="13" t="s">
        <v>320</v>
      </c>
      <c r="I258" s="7"/>
    </row>
    <row r="259" ht="14.25" customHeight="1">
      <c r="A259" s="7" t="s">
        <v>39</v>
      </c>
      <c r="B259" s="7" t="s">
        <v>39</v>
      </c>
      <c r="C259" s="7" t="s">
        <v>89</v>
      </c>
      <c r="D259" s="7" t="s">
        <v>325</v>
      </c>
      <c r="E259" s="7" t="s">
        <v>41</v>
      </c>
      <c r="F259" s="9" t="s">
        <v>23</v>
      </c>
      <c r="G259" s="10"/>
      <c r="H259" s="7"/>
      <c r="I259" s="7"/>
    </row>
    <row r="260" ht="14.25" customHeight="1">
      <c r="A260" s="7" t="s">
        <v>39</v>
      </c>
      <c r="B260" s="7" t="s">
        <v>39</v>
      </c>
      <c r="C260" s="7" t="s">
        <v>89</v>
      </c>
      <c r="D260" s="7" t="s">
        <v>326</v>
      </c>
      <c r="E260" s="7" t="s">
        <v>41</v>
      </c>
      <c r="F260" s="9" t="s">
        <v>23</v>
      </c>
      <c r="G260" s="10"/>
      <c r="H260" s="7"/>
      <c r="I260" s="7"/>
    </row>
    <row r="261" ht="14.25" customHeight="1">
      <c r="A261" s="7" t="s">
        <v>39</v>
      </c>
      <c r="B261" s="7" t="s">
        <v>39</v>
      </c>
      <c r="C261" s="7" t="s">
        <v>89</v>
      </c>
      <c r="D261" s="7" t="s">
        <v>327</v>
      </c>
      <c r="E261" s="7" t="s">
        <v>41</v>
      </c>
      <c r="F261" s="9" t="s">
        <v>23</v>
      </c>
      <c r="G261" s="10"/>
      <c r="H261" s="7"/>
      <c r="I261" s="7"/>
    </row>
    <row r="262" ht="14.25" customHeight="1">
      <c r="A262" s="7" t="s">
        <v>39</v>
      </c>
      <c r="B262" s="7" t="s">
        <v>39</v>
      </c>
      <c r="C262" s="7" t="s">
        <v>89</v>
      </c>
      <c r="D262" s="7" t="s">
        <v>328</v>
      </c>
      <c r="E262" s="7" t="s">
        <v>41</v>
      </c>
      <c r="F262" s="9" t="s">
        <v>23</v>
      </c>
      <c r="G262" s="10"/>
      <c r="H262" s="7"/>
      <c r="I262" s="7"/>
    </row>
    <row r="263" ht="14.25" customHeight="1">
      <c r="A263" s="7" t="s">
        <v>39</v>
      </c>
      <c r="B263" s="7" t="s">
        <v>39</v>
      </c>
      <c r="C263" s="7" t="s">
        <v>89</v>
      </c>
      <c r="D263" s="7" t="s">
        <v>329</v>
      </c>
      <c r="E263" s="7" t="s">
        <v>65</v>
      </c>
      <c r="F263" s="9" t="s">
        <v>23</v>
      </c>
      <c r="G263" s="10"/>
      <c r="H263" s="7"/>
      <c r="I263" s="7"/>
    </row>
    <row r="264" ht="14.25" customHeight="1">
      <c r="A264" s="7" t="s">
        <v>39</v>
      </c>
      <c r="B264" s="7" t="s">
        <v>39</v>
      </c>
      <c r="C264" s="7" t="s">
        <v>89</v>
      </c>
      <c r="D264" s="7" t="s">
        <v>330</v>
      </c>
      <c r="E264" s="7" t="s">
        <v>41</v>
      </c>
      <c r="F264" s="9" t="s">
        <v>23</v>
      </c>
      <c r="G264" s="10"/>
      <c r="H264" s="7"/>
      <c r="I264" s="7"/>
    </row>
    <row r="265" ht="14.25" customHeight="1">
      <c r="A265" s="7" t="s">
        <v>39</v>
      </c>
      <c r="B265" s="7" t="s">
        <v>39</v>
      </c>
      <c r="C265" s="7" t="s">
        <v>130</v>
      </c>
      <c r="D265" s="7" t="s">
        <v>331</v>
      </c>
      <c r="E265" s="7" t="s">
        <v>41</v>
      </c>
      <c r="F265" s="9" t="s">
        <v>23</v>
      </c>
      <c r="G265" s="10"/>
      <c r="H265" s="7"/>
      <c r="I265" s="7"/>
    </row>
    <row r="266" ht="14.25" customHeight="1">
      <c r="A266" s="7" t="s">
        <v>39</v>
      </c>
      <c r="B266" s="7" t="s">
        <v>39</v>
      </c>
      <c r="C266" s="7" t="s">
        <v>130</v>
      </c>
      <c r="D266" s="7" t="s">
        <v>332</v>
      </c>
      <c r="E266" s="7" t="s">
        <v>94</v>
      </c>
      <c r="F266" s="9" t="s">
        <v>23</v>
      </c>
      <c r="G266" s="10"/>
      <c r="H266" s="7"/>
      <c r="I266" s="7"/>
    </row>
    <row r="267" ht="14.25" customHeight="1">
      <c r="A267" s="7" t="s">
        <v>39</v>
      </c>
      <c r="B267" s="7" t="s">
        <v>39</v>
      </c>
      <c r="C267" s="7" t="s">
        <v>130</v>
      </c>
      <c r="D267" s="7" t="s">
        <v>333</v>
      </c>
      <c r="E267" s="7" t="s">
        <v>41</v>
      </c>
      <c r="F267" s="9" t="s">
        <v>23</v>
      </c>
      <c r="G267" s="10"/>
      <c r="H267" s="7"/>
      <c r="I267" s="7"/>
    </row>
    <row r="268" ht="14.25" customHeight="1">
      <c r="A268" s="7" t="s">
        <v>39</v>
      </c>
      <c r="B268" s="7" t="s">
        <v>39</v>
      </c>
      <c r="C268" s="7" t="s">
        <v>130</v>
      </c>
      <c r="D268" s="7" t="s">
        <v>334</v>
      </c>
      <c r="E268" s="7" t="s">
        <v>41</v>
      </c>
      <c r="F268" s="9" t="s">
        <v>23</v>
      </c>
      <c r="G268" s="10"/>
      <c r="H268" s="7"/>
      <c r="I268" s="7"/>
    </row>
    <row r="269" ht="14.25" customHeight="1">
      <c r="A269" s="7" t="s">
        <v>39</v>
      </c>
      <c r="B269" s="7" t="s">
        <v>39</v>
      </c>
      <c r="C269" s="7" t="s">
        <v>130</v>
      </c>
      <c r="D269" s="7" t="s">
        <v>335</v>
      </c>
      <c r="E269" s="7" t="s">
        <v>41</v>
      </c>
      <c r="F269" s="9" t="s">
        <v>23</v>
      </c>
      <c r="G269" s="10"/>
      <c r="H269" s="7"/>
      <c r="I269" s="7"/>
    </row>
    <row r="270" ht="14.25" customHeight="1">
      <c r="A270" s="7" t="s">
        <v>39</v>
      </c>
      <c r="B270" s="7" t="s">
        <v>39</v>
      </c>
      <c r="C270" s="7" t="s">
        <v>130</v>
      </c>
      <c r="D270" s="7" t="s">
        <v>336</v>
      </c>
      <c r="E270" s="7" t="s">
        <v>41</v>
      </c>
      <c r="F270" s="9" t="s">
        <v>23</v>
      </c>
      <c r="G270" s="10"/>
      <c r="H270" s="7"/>
      <c r="I270" s="7"/>
    </row>
    <row r="271" ht="14.25" customHeight="1">
      <c r="A271" s="7" t="s">
        <v>39</v>
      </c>
      <c r="B271" s="7" t="s">
        <v>39</v>
      </c>
      <c r="C271" s="7" t="s">
        <v>130</v>
      </c>
      <c r="D271" s="7" t="s">
        <v>130</v>
      </c>
      <c r="E271" s="7" t="s">
        <v>41</v>
      </c>
      <c r="F271" s="9" t="s">
        <v>23</v>
      </c>
      <c r="G271" s="10"/>
      <c r="H271" s="7"/>
      <c r="I271" s="7"/>
    </row>
    <row r="272" ht="14.25" customHeight="1">
      <c r="A272" s="7" t="s">
        <v>39</v>
      </c>
      <c r="B272" s="7" t="s">
        <v>39</v>
      </c>
      <c r="C272" s="7" t="s">
        <v>130</v>
      </c>
      <c r="D272" s="7" t="s">
        <v>337</v>
      </c>
      <c r="E272" s="7" t="s">
        <v>41</v>
      </c>
      <c r="F272" s="9" t="s">
        <v>23</v>
      </c>
      <c r="G272" s="10"/>
      <c r="H272" s="7"/>
      <c r="I272" s="7"/>
    </row>
    <row r="273" ht="14.25" customHeight="1">
      <c r="A273" s="7" t="s">
        <v>39</v>
      </c>
      <c r="B273" s="7" t="s">
        <v>39</v>
      </c>
      <c r="C273" s="7" t="s">
        <v>130</v>
      </c>
      <c r="D273" s="7" t="s">
        <v>338</v>
      </c>
      <c r="E273" s="7" t="s">
        <v>41</v>
      </c>
      <c r="F273" s="9" t="s">
        <v>23</v>
      </c>
      <c r="G273" s="10"/>
      <c r="H273" s="7"/>
      <c r="I273" s="7"/>
    </row>
    <row r="274" ht="14.25" customHeight="1">
      <c r="A274" s="7" t="s">
        <v>39</v>
      </c>
      <c r="B274" s="7" t="s">
        <v>39</v>
      </c>
      <c r="C274" s="7" t="s">
        <v>130</v>
      </c>
      <c r="D274" s="7" t="s">
        <v>339</v>
      </c>
      <c r="E274" s="7" t="s">
        <v>41</v>
      </c>
      <c r="F274" s="9" t="s">
        <v>23</v>
      </c>
      <c r="G274" s="10"/>
      <c r="H274" s="7"/>
      <c r="I274" s="7"/>
    </row>
    <row r="275" ht="14.25" customHeight="1">
      <c r="A275" s="7" t="s">
        <v>39</v>
      </c>
      <c r="B275" s="7" t="s">
        <v>39</v>
      </c>
      <c r="C275" s="7" t="s">
        <v>130</v>
      </c>
      <c r="D275" s="7" t="s">
        <v>340</v>
      </c>
      <c r="E275" s="7" t="s">
        <v>41</v>
      </c>
      <c r="F275" s="9" t="s">
        <v>23</v>
      </c>
      <c r="G275" s="10"/>
      <c r="H275" s="7"/>
      <c r="I275" s="7"/>
    </row>
    <row r="276" ht="14.25" customHeight="1">
      <c r="A276" s="7" t="s">
        <v>39</v>
      </c>
      <c r="B276" s="7" t="s">
        <v>39</v>
      </c>
      <c r="C276" s="7" t="s">
        <v>130</v>
      </c>
      <c r="D276" s="7" t="s">
        <v>341</v>
      </c>
      <c r="E276" s="7" t="s">
        <v>41</v>
      </c>
      <c r="F276" s="9" t="s">
        <v>23</v>
      </c>
      <c r="G276" s="10"/>
      <c r="H276" s="7"/>
      <c r="I276" s="7"/>
    </row>
    <row r="277" ht="14.25" customHeight="1">
      <c r="A277" s="7" t="s">
        <v>42</v>
      </c>
      <c r="B277" s="7" t="s">
        <v>42</v>
      </c>
      <c r="C277" s="7" t="s">
        <v>37</v>
      </c>
      <c r="D277" s="7" t="s">
        <v>342</v>
      </c>
      <c r="E277" s="7" t="s">
        <v>41</v>
      </c>
      <c r="F277" s="9" t="s">
        <v>23</v>
      </c>
      <c r="G277" s="10"/>
      <c r="H277" s="7"/>
      <c r="I277" s="7"/>
    </row>
    <row r="278" ht="14.25" customHeight="1">
      <c r="A278" s="7" t="s">
        <v>42</v>
      </c>
      <c r="B278" s="7" t="s">
        <v>42</v>
      </c>
      <c r="C278" s="7" t="s">
        <v>37</v>
      </c>
      <c r="D278" s="7" t="s">
        <v>343</v>
      </c>
      <c r="E278" s="7" t="s">
        <v>41</v>
      </c>
      <c r="F278" s="9" t="s">
        <v>23</v>
      </c>
      <c r="G278" s="10"/>
      <c r="H278" s="7"/>
      <c r="I278" s="7"/>
    </row>
    <row r="279" ht="14.25" customHeight="1">
      <c r="A279" s="7" t="s">
        <v>42</v>
      </c>
      <c r="B279" s="7" t="s">
        <v>42</v>
      </c>
      <c r="C279" s="7" t="s">
        <v>37</v>
      </c>
      <c r="D279" s="7" t="s">
        <v>344</v>
      </c>
      <c r="E279" s="7" t="s">
        <v>41</v>
      </c>
      <c r="F279" s="9" t="s">
        <v>23</v>
      </c>
      <c r="G279" s="10"/>
      <c r="H279" s="7"/>
      <c r="I279" s="7"/>
    </row>
    <row r="280" ht="14.25" customHeight="1">
      <c r="A280" s="7" t="s">
        <v>42</v>
      </c>
      <c r="B280" s="7" t="s">
        <v>42</v>
      </c>
      <c r="C280" s="7" t="s">
        <v>37</v>
      </c>
      <c r="D280" s="7" t="s">
        <v>345</v>
      </c>
      <c r="E280" s="7" t="s">
        <v>41</v>
      </c>
      <c r="F280" s="9" t="s">
        <v>23</v>
      </c>
      <c r="G280" s="10"/>
      <c r="H280" s="7"/>
      <c r="I280" s="7"/>
    </row>
    <row r="281" ht="14.25" customHeight="1">
      <c r="A281" s="7" t="s">
        <v>42</v>
      </c>
      <c r="B281" s="7" t="s">
        <v>42</v>
      </c>
      <c r="C281" s="7" t="s">
        <v>37</v>
      </c>
      <c r="D281" s="7" t="s">
        <v>346</v>
      </c>
      <c r="E281" s="7" t="s">
        <v>41</v>
      </c>
      <c r="F281" s="9" t="s">
        <v>23</v>
      </c>
      <c r="G281" s="10"/>
      <c r="H281" s="7"/>
      <c r="I281" s="7"/>
    </row>
    <row r="282" ht="14.25" customHeight="1">
      <c r="A282" s="7" t="s">
        <v>42</v>
      </c>
      <c r="B282" s="7" t="s">
        <v>42</v>
      </c>
      <c r="C282" s="7" t="s">
        <v>37</v>
      </c>
      <c r="D282" s="7" t="s">
        <v>347</v>
      </c>
      <c r="E282" s="7" t="s">
        <v>41</v>
      </c>
      <c r="F282" s="9" t="s">
        <v>23</v>
      </c>
      <c r="G282" s="10"/>
      <c r="H282" s="7"/>
      <c r="I282" s="7"/>
    </row>
    <row r="283" ht="14.25" customHeight="1">
      <c r="A283" s="7" t="s">
        <v>42</v>
      </c>
      <c r="B283" s="7" t="s">
        <v>42</v>
      </c>
      <c r="C283" s="7" t="s">
        <v>37</v>
      </c>
      <c r="D283" s="7" t="s">
        <v>348</v>
      </c>
      <c r="E283" s="7" t="s">
        <v>41</v>
      </c>
      <c r="F283" s="9" t="s">
        <v>23</v>
      </c>
      <c r="G283" s="10"/>
      <c r="H283" s="7"/>
      <c r="I283" s="7"/>
    </row>
    <row r="284" ht="14.25" customHeight="1">
      <c r="A284" s="7" t="s">
        <v>42</v>
      </c>
      <c r="B284" s="7" t="s">
        <v>42</v>
      </c>
      <c r="C284" s="7" t="s">
        <v>37</v>
      </c>
      <c r="D284" s="7" t="s">
        <v>349</v>
      </c>
      <c r="E284" s="7" t="s">
        <v>41</v>
      </c>
      <c r="F284" s="9" t="s">
        <v>23</v>
      </c>
      <c r="G284" s="10"/>
      <c r="H284" s="7"/>
      <c r="I284" s="7"/>
    </row>
    <row r="285" ht="14.25" customHeight="1">
      <c r="A285" s="7" t="s">
        <v>42</v>
      </c>
      <c r="B285" s="7" t="s">
        <v>42</v>
      </c>
      <c r="C285" s="7" t="s">
        <v>37</v>
      </c>
      <c r="D285" s="7" t="s">
        <v>350</v>
      </c>
      <c r="E285" s="7" t="s">
        <v>41</v>
      </c>
      <c r="F285" s="9" t="s">
        <v>23</v>
      </c>
      <c r="G285" s="10"/>
      <c r="H285" s="7"/>
      <c r="I285" s="7"/>
    </row>
    <row r="286" ht="14.25" customHeight="1">
      <c r="A286" s="7" t="s">
        <v>42</v>
      </c>
      <c r="B286" s="7" t="s">
        <v>42</v>
      </c>
      <c r="C286" s="7" t="s">
        <v>48</v>
      </c>
      <c r="D286" s="7" t="s">
        <v>351</v>
      </c>
      <c r="E286" s="7" t="s">
        <v>41</v>
      </c>
      <c r="F286" s="9" t="s">
        <v>23</v>
      </c>
      <c r="G286" s="10"/>
      <c r="H286" s="7"/>
      <c r="I286" s="7"/>
    </row>
    <row r="287" ht="14.25" customHeight="1">
      <c r="A287" s="7" t="s">
        <v>42</v>
      </c>
      <c r="B287" s="7" t="s">
        <v>42</v>
      </c>
      <c r="C287" s="7" t="s">
        <v>48</v>
      </c>
      <c r="D287" s="7" t="s">
        <v>352</v>
      </c>
      <c r="E287" s="7" t="s">
        <v>41</v>
      </c>
      <c r="F287" s="9" t="s">
        <v>23</v>
      </c>
      <c r="G287" s="10"/>
      <c r="H287" s="7"/>
      <c r="I287" s="7"/>
    </row>
    <row r="288" ht="14.25" customHeight="1">
      <c r="A288" s="7" t="s">
        <v>42</v>
      </c>
      <c r="B288" s="7" t="s">
        <v>42</v>
      </c>
      <c r="C288" s="7" t="s">
        <v>48</v>
      </c>
      <c r="D288" s="7" t="s">
        <v>353</v>
      </c>
      <c r="E288" s="7" t="s">
        <v>94</v>
      </c>
      <c r="F288" s="9" t="s">
        <v>23</v>
      </c>
      <c r="G288" s="10"/>
      <c r="H288" s="7"/>
      <c r="I288" s="7"/>
    </row>
    <row r="289" ht="14.25" customHeight="1">
      <c r="A289" s="7" t="s">
        <v>42</v>
      </c>
      <c r="B289" s="7" t="s">
        <v>42</v>
      </c>
      <c r="C289" s="7" t="s">
        <v>48</v>
      </c>
      <c r="D289" s="7" t="s">
        <v>354</v>
      </c>
      <c r="E289" s="7" t="s">
        <v>94</v>
      </c>
      <c r="F289" s="9" t="s">
        <v>23</v>
      </c>
      <c r="G289" s="10"/>
      <c r="H289" s="7"/>
      <c r="I289" s="7"/>
    </row>
    <row r="290" ht="14.25" customHeight="1">
      <c r="A290" s="7" t="s">
        <v>42</v>
      </c>
      <c r="B290" s="7" t="s">
        <v>42</v>
      </c>
      <c r="C290" s="7" t="s">
        <v>48</v>
      </c>
      <c r="D290" s="7" t="s">
        <v>355</v>
      </c>
      <c r="E290" s="7" t="s">
        <v>41</v>
      </c>
      <c r="F290" s="9" t="s">
        <v>23</v>
      </c>
      <c r="G290" s="10"/>
      <c r="H290" s="7"/>
      <c r="I290" s="7"/>
    </row>
    <row r="291" ht="14.25" customHeight="1">
      <c r="A291" s="7" t="s">
        <v>42</v>
      </c>
      <c r="B291" s="7" t="s">
        <v>42</v>
      </c>
      <c r="C291" s="7" t="s">
        <v>48</v>
      </c>
      <c r="D291" s="7" t="s">
        <v>356</v>
      </c>
      <c r="E291" s="7" t="s">
        <v>41</v>
      </c>
      <c r="F291" s="9" t="s">
        <v>23</v>
      </c>
      <c r="G291" s="10"/>
      <c r="H291" s="7"/>
      <c r="I291" s="7"/>
    </row>
    <row r="292" ht="14.25" customHeight="1">
      <c r="A292" s="7" t="s">
        <v>42</v>
      </c>
      <c r="B292" s="7" t="s">
        <v>42</v>
      </c>
      <c r="C292" s="7" t="s">
        <v>48</v>
      </c>
      <c r="D292" s="7" t="s">
        <v>357</v>
      </c>
      <c r="E292" s="7" t="s">
        <v>41</v>
      </c>
      <c r="F292" s="9" t="s">
        <v>23</v>
      </c>
      <c r="G292" s="10"/>
      <c r="H292" s="7"/>
      <c r="I292" s="7"/>
    </row>
    <row r="293" ht="14.25" customHeight="1">
      <c r="A293" s="7" t="s">
        <v>42</v>
      </c>
      <c r="B293" s="7" t="s">
        <v>42</v>
      </c>
      <c r="C293" s="7" t="s">
        <v>48</v>
      </c>
      <c r="D293" s="7" t="s">
        <v>358</v>
      </c>
      <c r="E293" s="7" t="s">
        <v>41</v>
      </c>
      <c r="F293" s="9" t="s">
        <v>23</v>
      </c>
      <c r="G293" s="10"/>
      <c r="H293" s="7"/>
      <c r="I293" s="7"/>
    </row>
    <row r="294" ht="14.25" customHeight="1">
      <c r="A294" s="7" t="s">
        <v>42</v>
      </c>
      <c r="B294" s="7" t="s">
        <v>42</v>
      </c>
      <c r="C294" s="7" t="s">
        <v>48</v>
      </c>
      <c r="D294" s="7" t="s">
        <v>359</v>
      </c>
      <c r="E294" s="7" t="s">
        <v>41</v>
      </c>
      <c r="F294" s="9" t="s">
        <v>23</v>
      </c>
      <c r="G294" s="10"/>
      <c r="H294" s="7"/>
      <c r="I294" s="7"/>
    </row>
    <row r="295" ht="14.25" customHeight="1">
      <c r="A295" s="7" t="s">
        <v>42</v>
      </c>
      <c r="B295" s="7" t="s">
        <v>42</v>
      </c>
      <c r="C295" s="7" t="s">
        <v>48</v>
      </c>
      <c r="D295" s="7" t="s">
        <v>360</v>
      </c>
      <c r="E295" s="7" t="s">
        <v>41</v>
      </c>
      <c r="F295" s="9" t="s">
        <v>23</v>
      </c>
      <c r="G295" s="10"/>
      <c r="H295" s="7"/>
      <c r="I295" s="7"/>
    </row>
    <row r="296" ht="14.25" customHeight="1">
      <c r="A296" s="7" t="s">
        <v>42</v>
      </c>
      <c r="B296" s="7" t="s">
        <v>42</v>
      </c>
      <c r="C296" s="7" t="s">
        <v>48</v>
      </c>
      <c r="D296" s="7" t="s">
        <v>361</v>
      </c>
      <c r="E296" s="7" t="s">
        <v>41</v>
      </c>
      <c r="F296" s="9" t="s">
        <v>23</v>
      </c>
      <c r="G296" s="10"/>
      <c r="H296" s="7"/>
      <c r="I296" s="7"/>
    </row>
    <row r="297" ht="14.25" customHeight="1">
      <c r="A297" s="7" t="s">
        <v>42</v>
      </c>
      <c r="B297" s="7" t="s">
        <v>42</v>
      </c>
      <c r="C297" s="7" t="s">
        <v>86</v>
      </c>
      <c r="D297" s="7" t="s">
        <v>362</v>
      </c>
      <c r="E297" s="7" t="s">
        <v>41</v>
      </c>
      <c r="F297" s="9" t="s">
        <v>23</v>
      </c>
      <c r="G297" s="10"/>
      <c r="H297" s="7"/>
      <c r="I297" s="7"/>
    </row>
    <row r="298" ht="14.25" customHeight="1">
      <c r="A298" s="7" t="s">
        <v>42</v>
      </c>
      <c r="B298" s="7" t="s">
        <v>42</v>
      </c>
      <c r="C298" s="7" t="s">
        <v>86</v>
      </c>
      <c r="D298" s="7" t="s">
        <v>363</v>
      </c>
      <c r="E298" s="7" t="s">
        <v>41</v>
      </c>
      <c r="F298" s="9" t="s">
        <v>23</v>
      </c>
      <c r="G298" s="10"/>
      <c r="H298" s="7"/>
      <c r="I298" s="7"/>
    </row>
    <row r="299" ht="14.25" customHeight="1">
      <c r="A299" s="7" t="s">
        <v>42</v>
      </c>
      <c r="B299" s="7" t="s">
        <v>42</v>
      </c>
      <c r="C299" s="7" t="s">
        <v>86</v>
      </c>
      <c r="D299" s="7" t="s">
        <v>364</v>
      </c>
      <c r="E299" s="7" t="s">
        <v>41</v>
      </c>
      <c r="F299" s="9" t="s">
        <v>23</v>
      </c>
      <c r="G299" s="10"/>
      <c r="H299" s="7"/>
      <c r="I299" s="7"/>
    </row>
    <row r="300" ht="14.25" customHeight="1">
      <c r="A300" s="7" t="s">
        <v>42</v>
      </c>
      <c r="B300" s="7" t="s">
        <v>42</v>
      </c>
      <c r="C300" s="7" t="s">
        <v>86</v>
      </c>
      <c r="D300" s="7" t="s">
        <v>365</v>
      </c>
      <c r="E300" s="7" t="s">
        <v>41</v>
      </c>
      <c r="F300" s="9" t="s">
        <v>23</v>
      </c>
      <c r="G300" s="10"/>
      <c r="H300" s="7"/>
      <c r="I300" s="7"/>
    </row>
    <row r="301" ht="14.25" customHeight="1">
      <c r="A301" s="7" t="s">
        <v>42</v>
      </c>
      <c r="B301" s="7" t="s">
        <v>42</v>
      </c>
      <c r="C301" s="7" t="s">
        <v>86</v>
      </c>
      <c r="D301" s="7" t="s">
        <v>366</v>
      </c>
      <c r="E301" s="7" t="s">
        <v>41</v>
      </c>
      <c r="F301" s="9" t="s">
        <v>23</v>
      </c>
      <c r="G301" s="10"/>
      <c r="H301" s="7"/>
      <c r="I301" s="7"/>
    </row>
    <row r="302" ht="14.25" customHeight="1">
      <c r="A302" s="7" t="s">
        <v>42</v>
      </c>
      <c r="B302" s="7" t="s">
        <v>42</v>
      </c>
      <c r="C302" s="7" t="s">
        <v>86</v>
      </c>
      <c r="D302" s="7" t="s">
        <v>367</v>
      </c>
      <c r="E302" s="7" t="s">
        <v>41</v>
      </c>
      <c r="F302" s="9" t="s">
        <v>23</v>
      </c>
      <c r="G302" s="10"/>
      <c r="H302" s="7"/>
      <c r="I302" s="7"/>
    </row>
    <row r="303" ht="14.25" customHeight="1">
      <c r="A303" s="7" t="s">
        <v>42</v>
      </c>
      <c r="B303" s="7" t="s">
        <v>42</v>
      </c>
      <c r="C303" s="7" t="s">
        <v>86</v>
      </c>
      <c r="D303" s="7" t="s">
        <v>86</v>
      </c>
      <c r="E303" s="7" t="s">
        <v>41</v>
      </c>
      <c r="F303" s="9" t="s">
        <v>23</v>
      </c>
      <c r="G303" s="10"/>
      <c r="H303" s="7"/>
      <c r="I303" s="7"/>
    </row>
    <row r="304" ht="14.25" customHeight="1">
      <c r="A304" s="7" t="s">
        <v>42</v>
      </c>
      <c r="B304" s="7" t="s">
        <v>42</v>
      </c>
      <c r="C304" s="7" t="s">
        <v>86</v>
      </c>
      <c r="D304" s="7" t="s">
        <v>368</v>
      </c>
      <c r="E304" s="7" t="s">
        <v>41</v>
      </c>
      <c r="F304" s="9" t="s">
        <v>23</v>
      </c>
      <c r="G304" s="10"/>
      <c r="H304" s="7"/>
      <c r="I304" s="7"/>
    </row>
    <row r="305" ht="14.25" customHeight="1">
      <c r="A305" s="7" t="s">
        <v>42</v>
      </c>
      <c r="B305" s="7" t="s">
        <v>42</v>
      </c>
      <c r="C305" s="7" t="s">
        <v>86</v>
      </c>
      <c r="D305" s="7" t="s">
        <v>369</v>
      </c>
      <c r="E305" s="7" t="s">
        <v>41</v>
      </c>
      <c r="F305" s="9" t="s">
        <v>23</v>
      </c>
      <c r="G305" s="10"/>
      <c r="H305" s="7"/>
      <c r="I305" s="7"/>
    </row>
    <row r="306" ht="14.25" customHeight="1">
      <c r="A306" s="7" t="s">
        <v>42</v>
      </c>
      <c r="B306" s="7" t="s">
        <v>42</v>
      </c>
      <c r="C306" s="7" t="s">
        <v>86</v>
      </c>
      <c r="D306" s="7" t="s">
        <v>370</v>
      </c>
      <c r="E306" s="7" t="s">
        <v>41</v>
      </c>
      <c r="F306" s="9" t="s">
        <v>23</v>
      </c>
      <c r="G306" s="10"/>
      <c r="H306" s="7"/>
      <c r="I306" s="7"/>
    </row>
    <row r="307" ht="14.25" customHeight="1">
      <c r="A307" s="7" t="s">
        <v>42</v>
      </c>
      <c r="B307" s="7" t="s">
        <v>42</v>
      </c>
      <c r="C307" s="7" t="s">
        <v>86</v>
      </c>
      <c r="D307" s="7" t="s">
        <v>371</v>
      </c>
      <c r="E307" s="7" t="s">
        <v>41</v>
      </c>
      <c r="F307" s="9" t="s">
        <v>23</v>
      </c>
      <c r="G307" s="10"/>
      <c r="H307" s="7"/>
      <c r="I307" s="7"/>
    </row>
    <row r="308" ht="14.25" customHeight="1">
      <c r="A308" s="7" t="s">
        <v>42</v>
      </c>
      <c r="B308" s="7" t="s">
        <v>42</v>
      </c>
      <c r="C308" s="7" t="s">
        <v>100</v>
      </c>
      <c r="D308" s="7" t="s">
        <v>372</v>
      </c>
      <c r="E308" s="7" t="s">
        <v>41</v>
      </c>
      <c r="F308" s="9" t="s">
        <v>23</v>
      </c>
      <c r="G308" s="10"/>
      <c r="H308" s="7"/>
      <c r="I308" s="7"/>
    </row>
    <row r="309" ht="14.25" customHeight="1">
      <c r="A309" s="7" t="s">
        <v>42</v>
      </c>
      <c r="B309" s="7" t="s">
        <v>42</v>
      </c>
      <c r="C309" s="7" t="s">
        <v>100</v>
      </c>
      <c r="D309" s="7" t="s">
        <v>373</v>
      </c>
      <c r="E309" s="7" t="s">
        <v>41</v>
      </c>
      <c r="F309" s="9" t="s">
        <v>23</v>
      </c>
      <c r="G309" s="10"/>
      <c r="H309" s="7"/>
      <c r="I309" s="7"/>
    </row>
    <row r="310" ht="14.25" customHeight="1">
      <c r="A310" s="7" t="s">
        <v>42</v>
      </c>
      <c r="B310" s="7" t="s">
        <v>42</v>
      </c>
      <c r="C310" s="7" t="s">
        <v>100</v>
      </c>
      <c r="D310" s="7" t="s">
        <v>374</v>
      </c>
      <c r="E310" s="7" t="s">
        <v>41</v>
      </c>
      <c r="F310" s="9" t="s">
        <v>23</v>
      </c>
      <c r="G310" s="10"/>
      <c r="H310" s="7"/>
      <c r="I310" s="7"/>
    </row>
    <row r="311" ht="14.25" customHeight="1">
      <c r="A311" s="7" t="s">
        <v>42</v>
      </c>
      <c r="B311" s="7" t="s">
        <v>42</v>
      </c>
      <c r="C311" s="7" t="s">
        <v>100</v>
      </c>
      <c r="D311" s="7" t="s">
        <v>375</v>
      </c>
      <c r="E311" s="7" t="s">
        <v>41</v>
      </c>
      <c r="F311" s="9" t="s">
        <v>23</v>
      </c>
      <c r="G311" s="10"/>
      <c r="H311" s="7"/>
      <c r="I311" s="7"/>
    </row>
    <row r="312" ht="14.25" customHeight="1">
      <c r="A312" s="7" t="s">
        <v>42</v>
      </c>
      <c r="B312" s="7" t="s">
        <v>42</v>
      </c>
      <c r="C312" s="7" t="s">
        <v>100</v>
      </c>
      <c r="D312" s="7" t="s">
        <v>376</v>
      </c>
      <c r="E312" s="7" t="s">
        <v>41</v>
      </c>
      <c r="F312" s="9" t="s">
        <v>23</v>
      </c>
      <c r="G312" s="10"/>
      <c r="H312" s="7"/>
      <c r="I312" s="7"/>
    </row>
    <row r="313" ht="14.25" customHeight="1">
      <c r="A313" s="7" t="s">
        <v>42</v>
      </c>
      <c r="B313" s="7" t="s">
        <v>42</v>
      </c>
      <c r="C313" s="7" t="s">
        <v>100</v>
      </c>
      <c r="D313" s="7" t="s">
        <v>377</v>
      </c>
      <c r="E313" s="7" t="s">
        <v>41</v>
      </c>
      <c r="F313" s="9" t="s">
        <v>23</v>
      </c>
      <c r="G313" s="10"/>
      <c r="H313" s="7"/>
      <c r="I313" s="7"/>
    </row>
    <row r="314" ht="14.25" customHeight="1">
      <c r="A314" s="7" t="s">
        <v>42</v>
      </c>
      <c r="B314" s="7" t="s">
        <v>42</v>
      </c>
      <c r="C314" s="7" t="s">
        <v>100</v>
      </c>
      <c r="D314" s="7" t="s">
        <v>378</v>
      </c>
      <c r="E314" s="7" t="s">
        <v>41</v>
      </c>
      <c r="F314" s="9" t="s">
        <v>23</v>
      </c>
      <c r="G314" s="10"/>
      <c r="H314" s="7"/>
      <c r="I314" s="7"/>
    </row>
    <row r="315" ht="14.25" customHeight="1">
      <c r="A315" s="7" t="s">
        <v>42</v>
      </c>
      <c r="B315" s="7" t="s">
        <v>42</v>
      </c>
      <c r="C315" s="7" t="s">
        <v>100</v>
      </c>
      <c r="D315" s="7" t="s">
        <v>100</v>
      </c>
      <c r="E315" s="7" t="s">
        <v>41</v>
      </c>
      <c r="F315" s="9" t="s">
        <v>23</v>
      </c>
      <c r="G315" s="10"/>
      <c r="H315" s="7"/>
      <c r="I315" s="7"/>
    </row>
    <row r="316" ht="14.25" customHeight="1">
      <c r="A316" s="7" t="s">
        <v>42</v>
      </c>
      <c r="B316" s="7" t="s">
        <v>42</v>
      </c>
      <c r="C316" s="7" t="s">
        <v>100</v>
      </c>
      <c r="D316" s="7" t="s">
        <v>379</v>
      </c>
      <c r="E316" s="7" t="s">
        <v>41</v>
      </c>
      <c r="F316" s="9" t="s">
        <v>23</v>
      </c>
      <c r="G316" s="10"/>
      <c r="H316" s="7"/>
      <c r="I316" s="7"/>
    </row>
    <row r="317" ht="14.25" customHeight="1">
      <c r="A317" s="7" t="s">
        <v>42</v>
      </c>
      <c r="B317" s="7" t="s">
        <v>42</v>
      </c>
      <c r="C317" s="7" t="s">
        <v>100</v>
      </c>
      <c r="D317" s="7" t="s">
        <v>380</v>
      </c>
      <c r="E317" s="7" t="s">
        <v>41</v>
      </c>
      <c r="F317" s="9" t="s">
        <v>23</v>
      </c>
      <c r="G317" s="10"/>
      <c r="H317" s="7"/>
      <c r="I317" s="7"/>
    </row>
    <row r="318" ht="14.25" customHeight="1">
      <c r="A318" s="7" t="s">
        <v>42</v>
      </c>
      <c r="B318" s="7" t="s">
        <v>42</v>
      </c>
      <c r="C318" s="7" t="s">
        <v>100</v>
      </c>
      <c r="D318" s="7" t="s">
        <v>381</v>
      </c>
      <c r="E318" s="7" t="s">
        <v>41</v>
      </c>
      <c r="F318" s="9" t="s">
        <v>23</v>
      </c>
      <c r="G318" s="10"/>
      <c r="H318" s="7"/>
      <c r="I318" s="7"/>
    </row>
    <row r="319" ht="14.25" customHeight="1">
      <c r="A319" s="7" t="s">
        <v>42</v>
      </c>
      <c r="B319" s="7" t="s">
        <v>42</v>
      </c>
      <c r="C319" s="7" t="s">
        <v>100</v>
      </c>
      <c r="D319" s="7" t="s">
        <v>382</v>
      </c>
      <c r="E319" s="7" t="s">
        <v>65</v>
      </c>
      <c r="F319" s="9" t="s">
        <v>23</v>
      </c>
      <c r="G319" s="10"/>
      <c r="H319" s="7"/>
      <c r="I319" s="7"/>
    </row>
    <row r="320" ht="14.25" customHeight="1">
      <c r="A320" s="7" t="s">
        <v>46</v>
      </c>
      <c r="B320" s="7" t="s">
        <v>46</v>
      </c>
      <c r="C320" s="7" t="s">
        <v>63</v>
      </c>
      <c r="D320" s="7" t="s">
        <v>383</v>
      </c>
      <c r="E320" s="7" t="s">
        <v>41</v>
      </c>
      <c r="F320" s="11" t="s">
        <v>83</v>
      </c>
      <c r="G320" s="12" t="s">
        <v>223</v>
      </c>
      <c r="H320" s="13" t="s">
        <v>320</v>
      </c>
      <c r="I320" s="7"/>
    </row>
    <row r="321" ht="14.25" customHeight="1">
      <c r="A321" s="7" t="s">
        <v>46</v>
      </c>
      <c r="B321" s="7" t="s">
        <v>46</v>
      </c>
      <c r="C321" s="7" t="s">
        <v>63</v>
      </c>
      <c r="D321" s="7" t="s">
        <v>384</v>
      </c>
      <c r="E321" s="7" t="s">
        <v>41</v>
      </c>
      <c r="F321" s="11" t="s">
        <v>83</v>
      </c>
      <c r="G321" s="12" t="s">
        <v>223</v>
      </c>
      <c r="H321" s="13" t="s">
        <v>320</v>
      </c>
      <c r="I321" s="7"/>
    </row>
    <row r="322" ht="14.25" customHeight="1">
      <c r="A322" s="7" t="s">
        <v>46</v>
      </c>
      <c r="B322" s="7" t="s">
        <v>46</v>
      </c>
      <c r="C322" s="7" t="s">
        <v>63</v>
      </c>
      <c r="D322" s="7" t="s">
        <v>385</v>
      </c>
      <c r="E322" s="7" t="s">
        <v>41</v>
      </c>
      <c r="F322" s="11" t="s">
        <v>83</v>
      </c>
      <c r="G322" s="12" t="s">
        <v>223</v>
      </c>
      <c r="H322" s="13" t="s">
        <v>320</v>
      </c>
      <c r="I322" s="7"/>
    </row>
    <row r="323" ht="14.25" customHeight="1">
      <c r="A323" s="7" t="s">
        <v>46</v>
      </c>
      <c r="B323" s="7" t="s">
        <v>46</v>
      </c>
      <c r="C323" s="7" t="s">
        <v>63</v>
      </c>
      <c r="D323" s="7" t="s">
        <v>386</v>
      </c>
      <c r="E323" s="7" t="s">
        <v>41</v>
      </c>
      <c r="F323" s="11" t="s">
        <v>83</v>
      </c>
      <c r="G323" s="12" t="s">
        <v>223</v>
      </c>
      <c r="H323" s="13" t="s">
        <v>320</v>
      </c>
      <c r="I323" s="7"/>
    </row>
    <row r="324" ht="14.25" customHeight="1">
      <c r="A324" s="7" t="s">
        <v>46</v>
      </c>
      <c r="B324" s="7" t="s">
        <v>46</v>
      </c>
      <c r="C324" s="7" t="s">
        <v>63</v>
      </c>
      <c r="D324" s="7" t="s">
        <v>63</v>
      </c>
      <c r="E324" s="7" t="s">
        <v>41</v>
      </c>
      <c r="F324" s="11" t="s">
        <v>83</v>
      </c>
      <c r="G324" s="12" t="s">
        <v>223</v>
      </c>
      <c r="H324" s="13" t="s">
        <v>320</v>
      </c>
      <c r="I324" s="7"/>
    </row>
    <row r="325" ht="14.25" customHeight="1">
      <c r="A325" s="7" t="s">
        <v>46</v>
      </c>
      <c r="B325" s="7" t="s">
        <v>46</v>
      </c>
      <c r="C325" s="7" t="s">
        <v>63</v>
      </c>
      <c r="D325" s="7" t="s">
        <v>387</v>
      </c>
      <c r="E325" s="7" t="s">
        <v>41</v>
      </c>
      <c r="F325" s="11" t="s">
        <v>83</v>
      </c>
      <c r="G325" s="12" t="s">
        <v>223</v>
      </c>
      <c r="H325" s="13" t="s">
        <v>320</v>
      </c>
      <c r="I325" s="7"/>
    </row>
    <row r="326" ht="14.25" customHeight="1">
      <c r="A326" s="7" t="s">
        <v>46</v>
      </c>
      <c r="B326" s="7" t="s">
        <v>46</v>
      </c>
      <c r="C326" s="7" t="s">
        <v>63</v>
      </c>
      <c r="D326" s="7" t="s">
        <v>388</v>
      </c>
      <c r="E326" s="7" t="s">
        <v>41</v>
      </c>
      <c r="F326" s="11" t="s">
        <v>83</v>
      </c>
      <c r="G326" s="12" t="s">
        <v>223</v>
      </c>
      <c r="H326" s="13" t="s">
        <v>320</v>
      </c>
      <c r="I326" s="7"/>
    </row>
    <row r="327" ht="14.25" customHeight="1">
      <c r="A327" s="7" t="s">
        <v>46</v>
      </c>
      <c r="B327" s="7" t="s">
        <v>46</v>
      </c>
      <c r="C327" s="7" t="s">
        <v>63</v>
      </c>
      <c r="D327" s="7" t="s">
        <v>389</v>
      </c>
      <c r="E327" s="7" t="s">
        <v>41</v>
      </c>
      <c r="F327" s="11" t="s">
        <v>83</v>
      </c>
      <c r="G327" s="12" t="s">
        <v>223</v>
      </c>
      <c r="H327" s="13" t="s">
        <v>320</v>
      </c>
      <c r="I327" s="7"/>
    </row>
    <row r="328" ht="14.25" customHeight="1">
      <c r="A328" s="7" t="s">
        <v>46</v>
      </c>
      <c r="B328" s="7" t="s">
        <v>46</v>
      </c>
      <c r="C328" s="7" t="s">
        <v>63</v>
      </c>
      <c r="D328" s="7" t="s">
        <v>390</v>
      </c>
      <c r="E328" s="7" t="s">
        <v>41</v>
      </c>
      <c r="F328" s="9" t="s">
        <v>23</v>
      </c>
      <c r="G328" s="10"/>
      <c r="H328" s="7"/>
      <c r="I328" s="7"/>
    </row>
    <row r="329" ht="14.25" customHeight="1">
      <c r="A329" s="7" t="s">
        <v>46</v>
      </c>
      <c r="B329" s="7" t="s">
        <v>46</v>
      </c>
      <c r="C329" s="7" t="s">
        <v>63</v>
      </c>
      <c r="D329" s="7" t="s">
        <v>391</v>
      </c>
      <c r="E329" s="7" t="s">
        <v>179</v>
      </c>
      <c r="F329" s="9" t="s">
        <v>23</v>
      </c>
      <c r="G329" s="10"/>
      <c r="H329" s="7"/>
      <c r="I329" s="7"/>
    </row>
    <row r="330" ht="14.25" customHeight="1">
      <c r="A330" s="7" t="s">
        <v>46</v>
      </c>
      <c r="B330" s="7" t="s">
        <v>46</v>
      </c>
      <c r="C330" s="7" t="s">
        <v>63</v>
      </c>
      <c r="D330" s="7" t="s">
        <v>392</v>
      </c>
      <c r="E330" s="7" t="s">
        <v>41</v>
      </c>
      <c r="F330" s="9" t="s">
        <v>23</v>
      </c>
      <c r="G330" s="10"/>
      <c r="H330" s="7"/>
      <c r="I330" s="7"/>
    </row>
    <row r="331" ht="14.25" customHeight="1">
      <c r="A331" s="7" t="s">
        <v>46</v>
      </c>
      <c r="B331" s="7" t="s">
        <v>46</v>
      </c>
      <c r="C331" s="7" t="s">
        <v>63</v>
      </c>
      <c r="D331" s="7" t="s">
        <v>393</v>
      </c>
      <c r="E331" s="7" t="s">
        <v>41</v>
      </c>
      <c r="F331" s="11" t="s">
        <v>83</v>
      </c>
      <c r="G331" s="12" t="s">
        <v>223</v>
      </c>
      <c r="H331" s="13" t="s">
        <v>320</v>
      </c>
      <c r="I331" s="7"/>
    </row>
    <row r="332" ht="14.25" customHeight="1">
      <c r="A332" s="7" t="s">
        <v>46</v>
      </c>
      <c r="B332" s="7" t="s">
        <v>46</v>
      </c>
      <c r="C332" s="7" t="s">
        <v>63</v>
      </c>
      <c r="D332" s="7" t="s">
        <v>394</v>
      </c>
      <c r="E332" s="7" t="s">
        <v>41</v>
      </c>
      <c r="F332" s="11" t="s">
        <v>83</v>
      </c>
      <c r="G332" s="12" t="s">
        <v>223</v>
      </c>
      <c r="H332" s="13" t="s">
        <v>320</v>
      </c>
      <c r="I332" s="7"/>
    </row>
    <row r="333" ht="14.25" customHeight="1">
      <c r="A333" s="7" t="s">
        <v>46</v>
      </c>
      <c r="B333" s="7" t="s">
        <v>46</v>
      </c>
      <c r="C333" s="7" t="s">
        <v>63</v>
      </c>
      <c r="D333" s="7" t="s">
        <v>395</v>
      </c>
      <c r="E333" s="7" t="s">
        <v>41</v>
      </c>
      <c r="F333" s="9" t="s">
        <v>23</v>
      </c>
      <c r="G333" s="10"/>
      <c r="H333" s="7"/>
      <c r="I333" s="7"/>
    </row>
    <row r="334" ht="14.25" customHeight="1">
      <c r="A334" s="7" t="s">
        <v>46</v>
      </c>
      <c r="B334" s="7" t="s">
        <v>46</v>
      </c>
      <c r="C334" s="7" t="s">
        <v>95</v>
      </c>
      <c r="D334" s="7" t="s">
        <v>396</v>
      </c>
      <c r="E334" s="7" t="s">
        <v>41</v>
      </c>
      <c r="F334" s="9" t="s">
        <v>23</v>
      </c>
      <c r="G334" s="10"/>
      <c r="H334" s="7"/>
      <c r="I334" s="7"/>
    </row>
    <row r="335" ht="14.25" customHeight="1">
      <c r="A335" s="7" t="s">
        <v>46</v>
      </c>
      <c r="B335" s="7" t="s">
        <v>46</v>
      </c>
      <c r="C335" s="7" t="s">
        <v>95</v>
      </c>
      <c r="D335" s="7" t="s">
        <v>397</v>
      </c>
      <c r="E335" s="7" t="s">
        <v>41</v>
      </c>
      <c r="F335" s="9" t="s">
        <v>23</v>
      </c>
      <c r="G335" s="10"/>
      <c r="H335" s="7"/>
      <c r="I335" s="7"/>
    </row>
    <row r="336" ht="14.25" customHeight="1">
      <c r="A336" s="7" t="s">
        <v>46</v>
      </c>
      <c r="B336" s="7" t="s">
        <v>46</v>
      </c>
      <c r="C336" s="7" t="s">
        <v>95</v>
      </c>
      <c r="D336" s="7" t="s">
        <v>398</v>
      </c>
      <c r="E336" s="7" t="s">
        <v>41</v>
      </c>
      <c r="F336" s="9" t="s">
        <v>23</v>
      </c>
      <c r="G336" s="10"/>
      <c r="H336" s="7"/>
      <c r="I336" s="7"/>
    </row>
    <row r="337" ht="14.25" customHeight="1">
      <c r="A337" s="7" t="s">
        <v>46</v>
      </c>
      <c r="B337" s="7" t="s">
        <v>46</v>
      </c>
      <c r="C337" s="7" t="s">
        <v>95</v>
      </c>
      <c r="D337" s="7" t="s">
        <v>399</v>
      </c>
      <c r="E337" s="7" t="s">
        <v>179</v>
      </c>
      <c r="F337" s="9" t="s">
        <v>23</v>
      </c>
      <c r="G337" s="10"/>
      <c r="H337" s="7"/>
      <c r="I337" s="7"/>
    </row>
    <row r="338" ht="14.25" customHeight="1">
      <c r="A338" s="7" t="s">
        <v>46</v>
      </c>
      <c r="B338" s="7" t="s">
        <v>46</v>
      </c>
      <c r="C338" s="7" t="s">
        <v>95</v>
      </c>
      <c r="D338" s="7" t="s">
        <v>95</v>
      </c>
      <c r="E338" s="7" t="s">
        <v>41</v>
      </c>
      <c r="F338" s="9" t="s">
        <v>23</v>
      </c>
      <c r="G338" s="10"/>
      <c r="H338" s="7"/>
      <c r="I338" s="7"/>
    </row>
    <row r="339" ht="14.25" customHeight="1">
      <c r="A339" s="7" t="s">
        <v>46</v>
      </c>
      <c r="B339" s="7" t="s">
        <v>46</v>
      </c>
      <c r="C339" s="7" t="s">
        <v>95</v>
      </c>
      <c r="D339" s="7" t="s">
        <v>400</v>
      </c>
      <c r="E339" s="7" t="s">
        <v>41</v>
      </c>
      <c r="F339" s="9" t="s">
        <v>23</v>
      </c>
      <c r="G339" s="10"/>
      <c r="H339" s="7"/>
      <c r="I339" s="7"/>
    </row>
    <row r="340" ht="14.25" customHeight="1">
      <c r="A340" s="7" t="s">
        <v>46</v>
      </c>
      <c r="B340" s="7" t="s">
        <v>46</v>
      </c>
      <c r="C340" s="7" t="s">
        <v>95</v>
      </c>
      <c r="D340" s="7" t="s">
        <v>401</v>
      </c>
      <c r="E340" s="7" t="s">
        <v>41</v>
      </c>
      <c r="F340" s="9" t="s">
        <v>23</v>
      </c>
      <c r="G340" s="10"/>
      <c r="H340" s="7"/>
      <c r="I340" s="7"/>
    </row>
    <row r="341" ht="14.25" customHeight="1">
      <c r="A341" s="7" t="s">
        <v>46</v>
      </c>
      <c r="B341" s="7" t="s">
        <v>46</v>
      </c>
      <c r="C341" s="7" t="s">
        <v>95</v>
      </c>
      <c r="D341" s="7" t="s">
        <v>402</v>
      </c>
      <c r="E341" s="7" t="s">
        <v>41</v>
      </c>
      <c r="F341" s="9" t="s">
        <v>23</v>
      </c>
      <c r="G341" s="10"/>
      <c r="H341" s="7"/>
      <c r="I341" s="7"/>
    </row>
    <row r="342" ht="14.25" customHeight="1">
      <c r="A342" s="7" t="s">
        <v>46</v>
      </c>
      <c r="B342" s="7" t="s">
        <v>46</v>
      </c>
      <c r="C342" s="7" t="s">
        <v>95</v>
      </c>
      <c r="D342" s="7" t="s">
        <v>403</v>
      </c>
      <c r="E342" s="7" t="s">
        <v>179</v>
      </c>
      <c r="F342" s="9" t="s">
        <v>23</v>
      </c>
      <c r="G342" s="10"/>
      <c r="H342" s="7"/>
      <c r="I342" s="7"/>
    </row>
    <row r="343" ht="14.25" customHeight="1">
      <c r="A343" s="7" t="s">
        <v>46</v>
      </c>
      <c r="B343" s="7" t="s">
        <v>46</v>
      </c>
      <c r="C343" s="7" t="s">
        <v>95</v>
      </c>
      <c r="D343" s="7" t="s">
        <v>404</v>
      </c>
      <c r="E343" s="7" t="s">
        <v>41</v>
      </c>
      <c r="F343" s="9" t="s">
        <v>23</v>
      </c>
      <c r="G343" s="10"/>
      <c r="H343" s="7"/>
      <c r="I343" s="7"/>
    </row>
    <row r="344" ht="14.25" customHeight="1">
      <c r="A344" s="7" t="s">
        <v>46</v>
      </c>
      <c r="B344" s="7" t="s">
        <v>46</v>
      </c>
      <c r="C344" s="7" t="s">
        <v>95</v>
      </c>
      <c r="D344" s="7" t="s">
        <v>405</v>
      </c>
      <c r="E344" s="7" t="s">
        <v>41</v>
      </c>
      <c r="F344" s="9" t="s">
        <v>23</v>
      </c>
      <c r="G344" s="10"/>
      <c r="H344" s="7"/>
      <c r="I344" s="7"/>
    </row>
    <row r="345" ht="14.25" customHeight="1">
      <c r="A345" s="7" t="s">
        <v>46</v>
      </c>
      <c r="B345" s="7" t="s">
        <v>46</v>
      </c>
      <c r="C345" s="7" t="s">
        <v>95</v>
      </c>
      <c r="D345" s="7" t="s">
        <v>406</v>
      </c>
      <c r="E345" s="7" t="s">
        <v>65</v>
      </c>
      <c r="F345" s="9" t="s">
        <v>23</v>
      </c>
      <c r="G345" s="10"/>
      <c r="H345" s="7"/>
      <c r="I345" s="7"/>
    </row>
    <row r="346" ht="14.25" customHeight="1">
      <c r="A346" s="7" t="s">
        <v>46</v>
      </c>
      <c r="B346" s="7" t="s">
        <v>46</v>
      </c>
      <c r="C346" s="7" t="s">
        <v>95</v>
      </c>
      <c r="D346" s="7" t="s">
        <v>407</v>
      </c>
      <c r="E346" s="7" t="s">
        <v>41</v>
      </c>
      <c r="F346" s="9" t="s">
        <v>23</v>
      </c>
      <c r="G346" s="10"/>
      <c r="H346" s="7"/>
      <c r="I346" s="7"/>
    </row>
    <row r="347" ht="14.25" customHeight="1">
      <c r="A347" s="7" t="s">
        <v>46</v>
      </c>
      <c r="B347" s="7" t="s">
        <v>46</v>
      </c>
      <c r="C347" s="7" t="s">
        <v>137</v>
      </c>
      <c r="D347" s="7" t="s">
        <v>408</v>
      </c>
      <c r="E347" s="7" t="s">
        <v>94</v>
      </c>
      <c r="F347" s="9" t="s">
        <v>23</v>
      </c>
      <c r="G347" s="10"/>
      <c r="H347" s="7"/>
      <c r="I347" s="7"/>
    </row>
    <row r="348" ht="14.25" customHeight="1">
      <c r="A348" s="7" t="s">
        <v>46</v>
      </c>
      <c r="B348" s="7" t="s">
        <v>46</v>
      </c>
      <c r="C348" s="7" t="s">
        <v>137</v>
      </c>
      <c r="D348" s="7" t="s">
        <v>409</v>
      </c>
      <c r="E348" s="7" t="s">
        <v>41</v>
      </c>
      <c r="F348" s="9" t="s">
        <v>23</v>
      </c>
      <c r="G348" s="10"/>
      <c r="H348" s="7"/>
      <c r="I348" s="7"/>
    </row>
    <row r="349" ht="14.25" customHeight="1">
      <c r="A349" s="7" t="s">
        <v>46</v>
      </c>
      <c r="B349" s="7" t="s">
        <v>46</v>
      </c>
      <c r="C349" s="7" t="s">
        <v>137</v>
      </c>
      <c r="D349" s="7" t="s">
        <v>410</v>
      </c>
      <c r="E349" s="7" t="s">
        <v>41</v>
      </c>
      <c r="F349" s="9" t="s">
        <v>23</v>
      </c>
      <c r="G349" s="10"/>
      <c r="H349" s="7"/>
      <c r="I349" s="7"/>
    </row>
    <row r="350" ht="14.25" customHeight="1">
      <c r="A350" s="7" t="s">
        <v>46</v>
      </c>
      <c r="B350" s="7" t="s">
        <v>46</v>
      </c>
      <c r="C350" s="7" t="s">
        <v>137</v>
      </c>
      <c r="D350" s="7" t="s">
        <v>411</v>
      </c>
      <c r="E350" s="7" t="s">
        <v>41</v>
      </c>
      <c r="F350" s="9" t="s">
        <v>23</v>
      </c>
      <c r="G350" s="10"/>
      <c r="H350" s="7"/>
      <c r="I350" s="7"/>
    </row>
    <row r="351" ht="14.25" customHeight="1">
      <c r="A351" s="7" t="s">
        <v>46</v>
      </c>
      <c r="B351" s="7" t="s">
        <v>46</v>
      </c>
      <c r="C351" s="7" t="s">
        <v>137</v>
      </c>
      <c r="D351" s="7" t="s">
        <v>412</v>
      </c>
      <c r="E351" s="7" t="s">
        <v>41</v>
      </c>
      <c r="F351" s="9" t="s">
        <v>23</v>
      </c>
      <c r="G351" s="10"/>
      <c r="H351" s="7"/>
      <c r="I351" s="7"/>
    </row>
    <row r="352" ht="14.25" customHeight="1">
      <c r="A352" s="7" t="s">
        <v>46</v>
      </c>
      <c r="B352" s="7" t="s">
        <v>46</v>
      </c>
      <c r="C352" s="7" t="s">
        <v>137</v>
      </c>
      <c r="D352" s="7" t="s">
        <v>413</v>
      </c>
      <c r="E352" s="7" t="s">
        <v>41</v>
      </c>
      <c r="F352" s="9" t="s">
        <v>23</v>
      </c>
      <c r="G352" s="10"/>
      <c r="H352" s="7"/>
      <c r="I352" s="7"/>
    </row>
    <row r="353" ht="14.25" customHeight="1">
      <c r="A353" s="7" t="s">
        <v>46</v>
      </c>
      <c r="B353" s="7" t="s">
        <v>46</v>
      </c>
      <c r="C353" s="7" t="s">
        <v>137</v>
      </c>
      <c r="D353" s="7" t="s">
        <v>414</v>
      </c>
      <c r="E353" s="7" t="s">
        <v>41</v>
      </c>
      <c r="F353" s="9" t="s">
        <v>23</v>
      </c>
      <c r="G353" s="10"/>
      <c r="H353" s="7"/>
      <c r="I353" s="7"/>
    </row>
    <row r="354" ht="14.25" customHeight="1">
      <c r="A354" s="7" t="s">
        <v>46</v>
      </c>
      <c r="B354" s="7" t="s">
        <v>46</v>
      </c>
      <c r="C354" s="7" t="s">
        <v>137</v>
      </c>
      <c r="D354" s="7" t="s">
        <v>415</v>
      </c>
      <c r="E354" s="7" t="s">
        <v>41</v>
      </c>
      <c r="F354" s="11" t="s">
        <v>83</v>
      </c>
      <c r="G354" s="12" t="s">
        <v>223</v>
      </c>
      <c r="H354" s="13" t="s">
        <v>416</v>
      </c>
      <c r="I354" s="7"/>
    </row>
    <row r="355" ht="14.25" customHeight="1">
      <c r="A355" s="7" t="s">
        <v>46</v>
      </c>
      <c r="B355" s="7" t="s">
        <v>46</v>
      </c>
      <c r="C355" s="7" t="s">
        <v>137</v>
      </c>
      <c r="D355" s="7" t="s">
        <v>417</v>
      </c>
      <c r="E355" s="7" t="s">
        <v>41</v>
      </c>
      <c r="F355" s="11" t="s">
        <v>83</v>
      </c>
      <c r="G355" s="12" t="s">
        <v>223</v>
      </c>
      <c r="H355" s="13" t="s">
        <v>416</v>
      </c>
      <c r="I355" s="7"/>
    </row>
    <row r="356" ht="14.25" customHeight="1">
      <c r="A356" s="7" t="s">
        <v>46</v>
      </c>
      <c r="B356" s="7" t="s">
        <v>46</v>
      </c>
      <c r="C356" s="7" t="s">
        <v>137</v>
      </c>
      <c r="D356" s="7" t="s">
        <v>418</v>
      </c>
      <c r="E356" s="7" t="s">
        <v>41</v>
      </c>
      <c r="F356" s="11" t="s">
        <v>83</v>
      </c>
      <c r="G356" s="12" t="s">
        <v>223</v>
      </c>
      <c r="H356" s="13" t="s">
        <v>416</v>
      </c>
      <c r="I356" s="7"/>
    </row>
    <row r="357" ht="14.25" customHeight="1">
      <c r="A357" s="7" t="s">
        <v>46</v>
      </c>
      <c r="B357" s="7" t="s">
        <v>46</v>
      </c>
      <c r="C357" s="7" t="s">
        <v>137</v>
      </c>
      <c r="D357" s="7" t="s">
        <v>419</v>
      </c>
      <c r="E357" s="7" t="s">
        <v>65</v>
      </c>
      <c r="F357" s="9" t="s">
        <v>23</v>
      </c>
      <c r="G357" s="10"/>
      <c r="H357" s="7"/>
      <c r="I357" s="7"/>
    </row>
    <row r="358" ht="14.25" customHeight="1">
      <c r="A358" s="7" t="s">
        <v>50</v>
      </c>
      <c r="B358" s="7" t="s">
        <v>50</v>
      </c>
      <c r="C358" s="7" t="s">
        <v>8</v>
      </c>
      <c r="D358" s="7" t="s">
        <v>8</v>
      </c>
      <c r="E358" s="7" t="s">
        <v>41</v>
      </c>
      <c r="F358" s="9" t="s">
        <v>23</v>
      </c>
      <c r="G358" s="10"/>
      <c r="H358" s="7"/>
      <c r="I358" s="7"/>
    </row>
    <row r="359" ht="14.25" customHeight="1">
      <c r="A359" s="7" t="s">
        <v>50</v>
      </c>
      <c r="B359" s="7" t="s">
        <v>50</v>
      </c>
      <c r="C359" s="7" t="s">
        <v>8</v>
      </c>
      <c r="D359" s="7" t="s">
        <v>420</v>
      </c>
      <c r="E359" s="7" t="s">
        <v>41</v>
      </c>
      <c r="F359" s="9" t="s">
        <v>23</v>
      </c>
      <c r="G359" s="10"/>
      <c r="H359" s="7"/>
      <c r="I359" s="7"/>
    </row>
    <row r="360" ht="14.25" customHeight="1">
      <c r="A360" s="7" t="s">
        <v>50</v>
      </c>
      <c r="B360" s="7" t="s">
        <v>50</v>
      </c>
      <c r="C360" s="7" t="s">
        <v>8</v>
      </c>
      <c r="D360" s="7" t="s">
        <v>421</v>
      </c>
      <c r="E360" s="7" t="s">
        <v>41</v>
      </c>
      <c r="F360" s="9" t="s">
        <v>23</v>
      </c>
      <c r="G360" s="10"/>
      <c r="H360" s="7"/>
      <c r="I360" s="7"/>
    </row>
    <row r="361" ht="14.25" customHeight="1">
      <c r="A361" s="7" t="s">
        <v>50</v>
      </c>
      <c r="B361" s="7" t="s">
        <v>50</v>
      </c>
      <c r="C361" s="7" t="s">
        <v>8</v>
      </c>
      <c r="D361" s="7" t="s">
        <v>422</v>
      </c>
      <c r="E361" s="7" t="s">
        <v>41</v>
      </c>
      <c r="F361" s="9" t="s">
        <v>23</v>
      </c>
      <c r="G361" s="10"/>
      <c r="H361" s="7"/>
      <c r="I361" s="7"/>
    </row>
    <row r="362" ht="14.25" customHeight="1">
      <c r="A362" s="7" t="s">
        <v>50</v>
      </c>
      <c r="B362" s="7" t="s">
        <v>50</v>
      </c>
      <c r="C362" s="7" t="s">
        <v>8</v>
      </c>
      <c r="D362" s="7" t="s">
        <v>423</v>
      </c>
      <c r="E362" s="7" t="s">
        <v>41</v>
      </c>
      <c r="F362" s="9" t="s">
        <v>23</v>
      </c>
      <c r="G362" s="10"/>
      <c r="H362" s="7"/>
      <c r="I362" s="7"/>
    </row>
    <row r="363" ht="14.25" customHeight="1">
      <c r="A363" s="7" t="s">
        <v>50</v>
      </c>
      <c r="B363" s="7" t="s">
        <v>50</v>
      </c>
      <c r="C363" s="7" t="s">
        <v>8</v>
      </c>
      <c r="D363" s="7" t="s">
        <v>424</v>
      </c>
      <c r="E363" s="7" t="s">
        <v>41</v>
      </c>
      <c r="F363" s="9" t="s">
        <v>23</v>
      </c>
      <c r="G363" s="10"/>
      <c r="H363" s="7"/>
      <c r="I363" s="7"/>
    </row>
    <row r="364" ht="14.25" customHeight="1">
      <c r="A364" s="7" t="s">
        <v>50</v>
      </c>
      <c r="B364" s="7" t="s">
        <v>50</v>
      </c>
      <c r="C364" s="7" t="s">
        <v>8</v>
      </c>
      <c r="D364" s="7" t="s">
        <v>425</v>
      </c>
      <c r="E364" s="7" t="s">
        <v>41</v>
      </c>
      <c r="F364" s="9" t="s">
        <v>23</v>
      </c>
      <c r="G364" s="10"/>
      <c r="H364" s="7"/>
      <c r="I364" s="7"/>
    </row>
    <row r="365" ht="14.25" customHeight="1">
      <c r="A365" s="7" t="s">
        <v>50</v>
      </c>
      <c r="B365" s="7" t="s">
        <v>50</v>
      </c>
      <c r="C365" s="7" t="s">
        <v>8</v>
      </c>
      <c r="D365" s="7" t="s">
        <v>426</v>
      </c>
      <c r="E365" s="7" t="s">
        <v>41</v>
      </c>
      <c r="F365" s="9" t="s">
        <v>23</v>
      </c>
      <c r="G365" s="10"/>
      <c r="H365" s="7"/>
      <c r="I365" s="7"/>
    </row>
    <row r="366" ht="14.25" customHeight="1">
      <c r="A366" s="7" t="s">
        <v>50</v>
      </c>
      <c r="B366" s="7" t="s">
        <v>50</v>
      </c>
      <c r="C366" s="7" t="s">
        <v>8</v>
      </c>
      <c r="D366" s="7" t="s">
        <v>427</v>
      </c>
      <c r="E366" s="7" t="s">
        <v>41</v>
      </c>
      <c r="F366" s="9" t="s">
        <v>23</v>
      </c>
      <c r="G366" s="10"/>
      <c r="H366" s="7"/>
      <c r="I366" s="7"/>
    </row>
    <row r="367" ht="14.25" customHeight="1">
      <c r="A367" s="7" t="s">
        <v>50</v>
      </c>
      <c r="B367" s="7" t="s">
        <v>50</v>
      </c>
      <c r="C367" s="7" t="s">
        <v>67</v>
      </c>
      <c r="D367" s="7" t="s">
        <v>428</v>
      </c>
      <c r="E367" s="7" t="s">
        <v>41</v>
      </c>
      <c r="F367" s="9" t="s">
        <v>23</v>
      </c>
      <c r="G367" s="10"/>
      <c r="H367" s="7"/>
      <c r="I367" s="7"/>
    </row>
    <row r="368" ht="14.25" customHeight="1">
      <c r="A368" s="7" t="s">
        <v>50</v>
      </c>
      <c r="B368" s="7" t="s">
        <v>50</v>
      </c>
      <c r="C368" s="7" t="s">
        <v>67</v>
      </c>
      <c r="D368" s="7" t="s">
        <v>429</v>
      </c>
      <c r="E368" s="7" t="s">
        <v>41</v>
      </c>
      <c r="F368" s="9" t="s">
        <v>23</v>
      </c>
      <c r="G368" s="10"/>
      <c r="H368" s="7"/>
      <c r="I368" s="7"/>
    </row>
    <row r="369" ht="14.25" customHeight="1">
      <c r="A369" s="7" t="s">
        <v>50</v>
      </c>
      <c r="B369" s="7" t="s">
        <v>50</v>
      </c>
      <c r="C369" s="7" t="s">
        <v>67</v>
      </c>
      <c r="D369" s="7" t="s">
        <v>430</v>
      </c>
      <c r="E369" s="7" t="s">
        <v>41</v>
      </c>
      <c r="F369" s="9" t="s">
        <v>23</v>
      </c>
      <c r="G369" s="10"/>
      <c r="H369" s="7"/>
      <c r="I369" s="7"/>
    </row>
    <row r="370" ht="14.25" customHeight="1">
      <c r="A370" s="7" t="s">
        <v>50</v>
      </c>
      <c r="B370" s="7" t="s">
        <v>50</v>
      </c>
      <c r="C370" s="7" t="s">
        <v>67</v>
      </c>
      <c r="D370" s="7" t="s">
        <v>431</v>
      </c>
      <c r="E370" s="7" t="s">
        <v>41</v>
      </c>
      <c r="F370" s="9" t="s">
        <v>23</v>
      </c>
      <c r="G370" s="10"/>
      <c r="H370" s="7"/>
      <c r="I370" s="7"/>
    </row>
    <row r="371" ht="14.25" customHeight="1">
      <c r="A371" s="7" t="s">
        <v>50</v>
      </c>
      <c r="B371" s="7" t="s">
        <v>50</v>
      </c>
      <c r="C371" s="7" t="s">
        <v>67</v>
      </c>
      <c r="D371" s="7" t="s">
        <v>432</v>
      </c>
      <c r="E371" s="7" t="s">
        <v>41</v>
      </c>
      <c r="F371" s="9" t="s">
        <v>23</v>
      </c>
      <c r="G371" s="10"/>
      <c r="H371" s="7"/>
      <c r="I371" s="7"/>
    </row>
    <row r="372" ht="14.25" customHeight="1">
      <c r="A372" s="7" t="s">
        <v>50</v>
      </c>
      <c r="B372" s="7" t="s">
        <v>50</v>
      </c>
      <c r="C372" s="7" t="s">
        <v>67</v>
      </c>
      <c r="D372" s="7" t="s">
        <v>433</v>
      </c>
      <c r="E372" s="7" t="s">
        <v>41</v>
      </c>
      <c r="F372" s="9" t="s">
        <v>23</v>
      </c>
      <c r="G372" s="10"/>
      <c r="H372" s="7"/>
      <c r="I372" s="7"/>
    </row>
    <row r="373" ht="14.25" customHeight="1">
      <c r="A373" s="7" t="s">
        <v>50</v>
      </c>
      <c r="B373" s="7" t="s">
        <v>50</v>
      </c>
      <c r="C373" s="7" t="s">
        <v>67</v>
      </c>
      <c r="D373" s="7" t="s">
        <v>434</v>
      </c>
      <c r="E373" s="7" t="s">
        <v>41</v>
      </c>
      <c r="F373" s="9" t="s">
        <v>23</v>
      </c>
      <c r="G373" s="10"/>
      <c r="H373" s="7"/>
      <c r="I373" s="7"/>
    </row>
    <row r="374" ht="14.25" customHeight="1">
      <c r="A374" s="7" t="s">
        <v>50</v>
      </c>
      <c r="B374" s="7" t="s">
        <v>50</v>
      </c>
      <c r="C374" s="7" t="s">
        <v>67</v>
      </c>
      <c r="D374" s="7" t="s">
        <v>435</v>
      </c>
      <c r="E374" s="7" t="s">
        <v>41</v>
      </c>
      <c r="F374" s="9" t="s">
        <v>23</v>
      </c>
      <c r="G374" s="10"/>
      <c r="H374" s="7"/>
      <c r="I374" s="7"/>
    </row>
    <row r="375" ht="14.25" customHeight="1">
      <c r="A375" s="7" t="s">
        <v>50</v>
      </c>
      <c r="B375" s="7" t="s">
        <v>50</v>
      </c>
      <c r="C375" s="7" t="s">
        <v>67</v>
      </c>
      <c r="D375" s="7" t="s">
        <v>436</v>
      </c>
      <c r="E375" s="7" t="s">
        <v>41</v>
      </c>
      <c r="F375" s="9" t="s">
        <v>23</v>
      </c>
      <c r="G375" s="10"/>
      <c r="H375" s="7"/>
      <c r="I375" s="7"/>
    </row>
    <row r="376" ht="14.25" customHeight="1">
      <c r="A376" s="7" t="s">
        <v>50</v>
      </c>
      <c r="B376" s="7" t="s">
        <v>50</v>
      </c>
      <c r="C376" s="7" t="s">
        <v>67</v>
      </c>
      <c r="D376" s="7" t="s">
        <v>437</v>
      </c>
      <c r="E376" s="7" t="s">
        <v>41</v>
      </c>
      <c r="F376" s="9" t="s">
        <v>23</v>
      </c>
      <c r="G376" s="10"/>
      <c r="H376" s="7"/>
      <c r="I376" s="7"/>
    </row>
    <row r="377" ht="14.25" customHeight="1">
      <c r="A377" s="7" t="s">
        <v>50</v>
      </c>
      <c r="B377" s="7" t="s">
        <v>50</v>
      </c>
      <c r="C377" s="7" t="s">
        <v>75</v>
      </c>
      <c r="D377" s="7" t="s">
        <v>438</v>
      </c>
      <c r="E377" s="7" t="s">
        <v>41</v>
      </c>
      <c r="F377" s="9" t="s">
        <v>23</v>
      </c>
      <c r="G377" s="10"/>
      <c r="H377" s="7"/>
      <c r="I377" s="7"/>
    </row>
    <row r="378" ht="14.25" customHeight="1">
      <c r="A378" s="7" t="s">
        <v>50</v>
      </c>
      <c r="B378" s="7" t="s">
        <v>50</v>
      </c>
      <c r="C378" s="7" t="s">
        <v>75</v>
      </c>
      <c r="D378" s="7" t="s">
        <v>439</v>
      </c>
      <c r="E378" s="7" t="s">
        <v>41</v>
      </c>
      <c r="F378" s="9" t="s">
        <v>23</v>
      </c>
      <c r="G378" s="10"/>
      <c r="H378" s="7"/>
      <c r="I378" s="7"/>
    </row>
    <row r="379" ht="14.25" customHeight="1">
      <c r="A379" s="7" t="s">
        <v>50</v>
      </c>
      <c r="B379" s="7" t="s">
        <v>50</v>
      </c>
      <c r="C379" s="7" t="s">
        <v>75</v>
      </c>
      <c r="D379" s="7" t="s">
        <v>440</v>
      </c>
      <c r="E379" s="7" t="s">
        <v>41</v>
      </c>
      <c r="F379" s="9" t="s">
        <v>23</v>
      </c>
      <c r="G379" s="10"/>
      <c r="H379" s="7"/>
      <c r="I379" s="7"/>
    </row>
    <row r="380" ht="14.25" customHeight="1">
      <c r="A380" s="7" t="s">
        <v>50</v>
      </c>
      <c r="B380" s="7" t="s">
        <v>50</v>
      </c>
      <c r="C380" s="7" t="s">
        <v>75</v>
      </c>
      <c r="D380" s="7" t="s">
        <v>75</v>
      </c>
      <c r="E380" s="7" t="s">
        <v>41</v>
      </c>
      <c r="F380" s="9" t="s">
        <v>23</v>
      </c>
      <c r="G380" s="10"/>
      <c r="H380" s="7"/>
      <c r="I380" s="7"/>
    </row>
    <row r="381" ht="14.25" customHeight="1">
      <c r="A381" s="7" t="s">
        <v>50</v>
      </c>
      <c r="B381" s="7" t="s">
        <v>50</v>
      </c>
      <c r="C381" s="7" t="s">
        <v>75</v>
      </c>
      <c r="D381" s="7" t="s">
        <v>441</v>
      </c>
      <c r="E381" s="7" t="s">
        <v>41</v>
      </c>
      <c r="F381" s="9" t="s">
        <v>23</v>
      </c>
      <c r="G381" s="10"/>
      <c r="H381" s="7"/>
      <c r="I381" s="7"/>
    </row>
    <row r="382" ht="14.25" customHeight="1">
      <c r="A382" s="7" t="s">
        <v>50</v>
      </c>
      <c r="B382" s="7" t="s">
        <v>50</v>
      </c>
      <c r="C382" s="7" t="s">
        <v>75</v>
      </c>
      <c r="D382" s="7" t="s">
        <v>442</v>
      </c>
      <c r="E382" s="7" t="s">
        <v>41</v>
      </c>
      <c r="F382" s="11" t="s">
        <v>83</v>
      </c>
      <c r="G382" s="12" t="s">
        <v>223</v>
      </c>
      <c r="H382" s="13" t="s">
        <v>320</v>
      </c>
      <c r="I382" s="7"/>
    </row>
    <row r="383" ht="14.25" customHeight="1">
      <c r="A383" s="7" t="s">
        <v>50</v>
      </c>
      <c r="B383" s="7" t="s">
        <v>50</v>
      </c>
      <c r="C383" s="7" t="s">
        <v>75</v>
      </c>
      <c r="D383" s="7" t="s">
        <v>443</v>
      </c>
      <c r="E383" s="7" t="s">
        <v>41</v>
      </c>
      <c r="F383" s="9" t="s">
        <v>23</v>
      </c>
      <c r="G383" s="10"/>
      <c r="H383" s="7"/>
      <c r="I383" s="7"/>
    </row>
    <row r="384" ht="14.25" customHeight="1">
      <c r="A384" s="7" t="s">
        <v>50</v>
      </c>
      <c r="B384" s="7" t="s">
        <v>50</v>
      </c>
      <c r="C384" s="7" t="s">
        <v>75</v>
      </c>
      <c r="D384" s="7" t="s">
        <v>444</v>
      </c>
      <c r="E384" s="7" t="s">
        <v>41</v>
      </c>
      <c r="F384" s="9" t="s">
        <v>23</v>
      </c>
      <c r="G384" s="10"/>
      <c r="H384" s="7"/>
      <c r="I384" s="7"/>
    </row>
    <row r="385" ht="14.25" customHeight="1">
      <c r="A385" s="7" t="s">
        <v>50</v>
      </c>
      <c r="B385" s="7" t="s">
        <v>50</v>
      </c>
      <c r="C385" s="7" t="s">
        <v>75</v>
      </c>
      <c r="D385" s="7" t="s">
        <v>445</v>
      </c>
      <c r="E385" s="7" t="s">
        <v>41</v>
      </c>
      <c r="F385" s="9" t="s">
        <v>23</v>
      </c>
      <c r="G385" s="10"/>
      <c r="H385" s="7"/>
      <c r="I385" s="7"/>
    </row>
    <row r="386" ht="14.25" customHeight="1">
      <c r="A386" s="7" t="s">
        <v>50</v>
      </c>
      <c r="B386" s="7" t="s">
        <v>50</v>
      </c>
      <c r="C386" s="7" t="s">
        <v>75</v>
      </c>
      <c r="D386" s="7" t="s">
        <v>446</v>
      </c>
      <c r="E386" s="7" t="s">
        <v>41</v>
      </c>
      <c r="F386" s="9" t="s">
        <v>23</v>
      </c>
      <c r="G386" s="10"/>
      <c r="H386" s="7"/>
      <c r="I386" s="7"/>
    </row>
    <row r="387" ht="14.25" customHeight="1">
      <c r="A387" s="7" t="s">
        <v>50</v>
      </c>
      <c r="B387" s="7" t="s">
        <v>50</v>
      </c>
      <c r="C387" s="7" t="s">
        <v>109</v>
      </c>
      <c r="D387" s="7" t="s">
        <v>447</v>
      </c>
      <c r="E387" s="7" t="s">
        <v>41</v>
      </c>
      <c r="F387" s="9" t="s">
        <v>23</v>
      </c>
      <c r="G387" s="10"/>
      <c r="H387" s="7"/>
      <c r="I387" s="7"/>
    </row>
    <row r="388" ht="14.25" customHeight="1">
      <c r="A388" s="7" t="s">
        <v>50</v>
      </c>
      <c r="B388" s="7" t="s">
        <v>50</v>
      </c>
      <c r="C388" s="7" t="s">
        <v>109</v>
      </c>
      <c r="D388" s="7" t="s">
        <v>448</v>
      </c>
      <c r="E388" s="7" t="s">
        <v>41</v>
      </c>
      <c r="F388" s="9" t="s">
        <v>23</v>
      </c>
      <c r="G388" s="10"/>
      <c r="H388" s="7"/>
      <c r="I388" s="7"/>
    </row>
    <row r="389" ht="14.25" customHeight="1">
      <c r="A389" s="7" t="s">
        <v>50</v>
      </c>
      <c r="B389" s="7" t="s">
        <v>50</v>
      </c>
      <c r="C389" s="7" t="s">
        <v>109</v>
      </c>
      <c r="D389" s="7" t="s">
        <v>449</v>
      </c>
      <c r="E389" s="7" t="s">
        <v>41</v>
      </c>
      <c r="F389" s="9" t="s">
        <v>23</v>
      </c>
      <c r="G389" s="10"/>
      <c r="H389" s="7"/>
      <c r="I389" s="7"/>
    </row>
    <row r="390" ht="14.25" customHeight="1">
      <c r="A390" s="7" t="s">
        <v>50</v>
      </c>
      <c r="B390" s="7" t="s">
        <v>50</v>
      </c>
      <c r="C390" s="7" t="s">
        <v>109</v>
      </c>
      <c r="D390" s="7" t="s">
        <v>450</v>
      </c>
      <c r="E390" s="7" t="s">
        <v>41</v>
      </c>
      <c r="F390" s="9" t="s">
        <v>23</v>
      </c>
      <c r="G390" s="10"/>
      <c r="H390" s="7"/>
      <c r="I390" s="7"/>
    </row>
    <row r="391" ht="14.25" customHeight="1">
      <c r="A391" s="7" t="s">
        <v>50</v>
      </c>
      <c r="B391" s="7" t="s">
        <v>50</v>
      </c>
      <c r="C391" s="7" t="s">
        <v>109</v>
      </c>
      <c r="D391" s="7" t="s">
        <v>451</v>
      </c>
      <c r="E391" s="7" t="s">
        <v>41</v>
      </c>
      <c r="F391" s="9" t="s">
        <v>23</v>
      </c>
      <c r="G391" s="10"/>
      <c r="H391" s="7"/>
      <c r="I391" s="7"/>
    </row>
    <row r="392" ht="14.25" customHeight="1">
      <c r="A392" s="7" t="s">
        <v>50</v>
      </c>
      <c r="B392" s="7" t="s">
        <v>50</v>
      </c>
      <c r="C392" s="7" t="s">
        <v>109</v>
      </c>
      <c r="D392" s="7" t="s">
        <v>452</v>
      </c>
      <c r="E392" s="7" t="s">
        <v>41</v>
      </c>
      <c r="F392" s="9" t="s">
        <v>23</v>
      </c>
      <c r="G392" s="10"/>
      <c r="H392" s="7"/>
      <c r="I392" s="7"/>
    </row>
    <row r="393" ht="14.25" customHeight="1">
      <c r="A393" s="7" t="s">
        <v>50</v>
      </c>
      <c r="B393" s="7" t="s">
        <v>50</v>
      </c>
      <c r="C393" s="7" t="s">
        <v>109</v>
      </c>
      <c r="D393" s="7" t="s">
        <v>453</v>
      </c>
      <c r="E393" s="7" t="s">
        <v>41</v>
      </c>
      <c r="F393" s="9" t="s">
        <v>23</v>
      </c>
      <c r="G393" s="10"/>
      <c r="H393" s="7"/>
      <c r="I393" s="7"/>
    </row>
    <row r="394" ht="14.25" customHeight="1">
      <c r="A394" s="7" t="s">
        <v>50</v>
      </c>
      <c r="B394" s="7" t="s">
        <v>50</v>
      </c>
      <c r="C394" s="7" t="s">
        <v>109</v>
      </c>
      <c r="D394" s="7" t="s">
        <v>454</v>
      </c>
      <c r="E394" s="7" t="s">
        <v>65</v>
      </c>
      <c r="F394" s="9" t="s">
        <v>23</v>
      </c>
      <c r="G394" s="10"/>
      <c r="H394" s="7"/>
      <c r="I394" s="7"/>
    </row>
    <row r="395" ht="14.25" customHeight="1">
      <c r="A395" s="7" t="s">
        <v>50</v>
      </c>
      <c r="B395" s="7" t="s">
        <v>50</v>
      </c>
      <c r="C395" s="7" t="s">
        <v>109</v>
      </c>
      <c r="D395" s="7" t="s">
        <v>455</v>
      </c>
      <c r="E395" s="7" t="s">
        <v>41</v>
      </c>
      <c r="F395" s="9" t="s">
        <v>23</v>
      </c>
      <c r="G395" s="10"/>
      <c r="H395" s="7"/>
      <c r="I395" s="7"/>
    </row>
    <row r="396" ht="14.25" customHeight="1">
      <c r="A396" s="7" t="s">
        <v>50</v>
      </c>
      <c r="B396" s="7" t="s">
        <v>50</v>
      </c>
      <c r="C396" s="7" t="s">
        <v>109</v>
      </c>
      <c r="D396" s="7" t="s">
        <v>456</v>
      </c>
      <c r="E396" s="7" t="s">
        <v>41</v>
      </c>
      <c r="F396" s="9" t="s">
        <v>23</v>
      </c>
      <c r="G396" s="10"/>
      <c r="H396" s="7"/>
      <c r="I396" s="7"/>
    </row>
    <row r="397" ht="14.25" customHeight="1">
      <c r="A397" s="7" t="s">
        <v>50</v>
      </c>
      <c r="B397" s="7" t="s">
        <v>50</v>
      </c>
      <c r="C397" s="7" t="s">
        <v>109</v>
      </c>
      <c r="D397" s="7" t="s">
        <v>457</v>
      </c>
      <c r="E397" s="7" t="s">
        <v>41</v>
      </c>
      <c r="F397" s="9" t="s">
        <v>23</v>
      </c>
      <c r="G397" s="10"/>
      <c r="H397" s="7"/>
      <c r="I397" s="7"/>
    </row>
    <row r="398" ht="14.25" customHeight="1">
      <c r="A398" s="7" t="s">
        <v>54</v>
      </c>
      <c r="B398" s="7" t="s">
        <v>54</v>
      </c>
      <c r="C398" s="7" t="s">
        <v>33</v>
      </c>
      <c r="D398" s="7" t="s">
        <v>33</v>
      </c>
      <c r="E398" s="7" t="s">
        <v>41</v>
      </c>
      <c r="F398" s="9" t="s">
        <v>23</v>
      </c>
      <c r="G398" s="10"/>
      <c r="H398" s="7"/>
      <c r="I398" s="7"/>
    </row>
    <row r="399" ht="14.25" customHeight="1">
      <c r="A399" s="7" t="s">
        <v>54</v>
      </c>
      <c r="B399" s="7" t="s">
        <v>54</v>
      </c>
      <c r="C399" s="7" t="s">
        <v>33</v>
      </c>
      <c r="D399" s="7" t="s">
        <v>458</v>
      </c>
      <c r="E399" s="7" t="s">
        <v>41</v>
      </c>
      <c r="F399" s="9" t="s">
        <v>23</v>
      </c>
      <c r="G399" s="10"/>
      <c r="H399" s="7"/>
      <c r="I399" s="7"/>
    </row>
    <row r="400" ht="14.25" customHeight="1">
      <c r="A400" s="7" t="s">
        <v>54</v>
      </c>
      <c r="B400" s="7" t="s">
        <v>54</v>
      </c>
      <c r="C400" s="7" t="s">
        <v>33</v>
      </c>
      <c r="D400" s="7" t="s">
        <v>459</v>
      </c>
      <c r="E400" s="7" t="s">
        <v>41</v>
      </c>
      <c r="F400" s="9" t="s">
        <v>23</v>
      </c>
      <c r="G400" s="10"/>
      <c r="H400" s="7"/>
      <c r="I400" s="7"/>
    </row>
    <row r="401" ht="14.25" customHeight="1">
      <c r="A401" s="7" t="s">
        <v>54</v>
      </c>
      <c r="B401" s="7" t="s">
        <v>54</v>
      </c>
      <c r="C401" s="7" t="s">
        <v>33</v>
      </c>
      <c r="D401" s="7" t="s">
        <v>460</v>
      </c>
      <c r="E401" s="7" t="s">
        <v>41</v>
      </c>
      <c r="F401" s="9" t="s">
        <v>23</v>
      </c>
      <c r="G401" s="10"/>
      <c r="H401" s="7"/>
      <c r="I401" s="7"/>
    </row>
    <row r="402" ht="14.25" customHeight="1">
      <c r="A402" s="7" t="s">
        <v>54</v>
      </c>
      <c r="B402" s="7" t="s">
        <v>54</v>
      </c>
      <c r="C402" s="7" t="s">
        <v>33</v>
      </c>
      <c r="D402" s="7" t="s">
        <v>461</v>
      </c>
      <c r="E402" s="7" t="s">
        <v>41</v>
      </c>
      <c r="F402" s="9" t="s">
        <v>23</v>
      </c>
      <c r="G402" s="10"/>
      <c r="H402" s="7"/>
      <c r="I402" s="7"/>
    </row>
    <row r="403" ht="14.25" customHeight="1">
      <c r="A403" s="7" t="s">
        <v>54</v>
      </c>
      <c r="B403" s="7" t="s">
        <v>54</v>
      </c>
      <c r="C403" s="7" t="s">
        <v>33</v>
      </c>
      <c r="D403" s="7" t="s">
        <v>462</v>
      </c>
      <c r="E403" s="7" t="s">
        <v>41</v>
      </c>
      <c r="F403" s="9" t="s">
        <v>23</v>
      </c>
      <c r="G403" s="10"/>
      <c r="H403" s="7"/>
      <c r="I403" s="7"/>
    </row>
    <row r="404" ht="14.25" customHeight="1">
      <c r="A404" s="7" t="s">
        <v>54</v>
      </c>
      <c r="B404" s="7" t="s">
        <v>54</v>
      </c>
      <c r="C404" s="7" t="s">
        <v>33</v>
      </c>
      <c r="D404" s="7" t="s">
        <v>463</v>
      </c>
      <c r="E404" s="7" t="s">
        <v>179</v>
      </c>
      <c r="F404" s="9" t="s">
        <v>23</v>
      </c>
      <c r="G404" s="10"/>
      <c r="H404" s="7"/>
      <c r="I404" s="7"/>
    </row>
    <row r="405" ht="14.25" customHeight="1">
      <c r="A405" s="7" t="s">
        <v>54</v>
      </c>
      <c r="B405" s="7" t="s">
        <v>54</v>
      </c>
      <c r="C405" s="7" t="s">
        <v>33</v>
      </c>
      <c r="D405" s="7" t="s">
        <v>464</v>
      </c>
      <c r="E405" s="7" t="s">
        <v>41</v>
      </c>
      <c r="F405" s="9" t="s">
        <v>23</v>
      </c>
      <c r="G405" s="10"/>
      <c r="H405" s="7"/>
      <c r="I405" s="7"/>
    </row>
    <row r="406" ht="14.25" customHeight="1">
      <c r="A406" s="7" t="s">
        <v>54</v>
      </c>
      <c r="B406" s="7" t="s">
        <v>54</v>
      </c>
      <c r="C406" s="7" t="s">
        <v>33</v>
      </c>
      <c r="D406" s="7" t="s">
        <v>465</v>
      </c>
      <c r="E406" s="7" t="s">
        <v>41</v>
      </c>
      <c r="F406" s="9" t="s">
        <v>23</v>
      </c>
      <c r="G406" s="10"/>
      <c r="H406" s="7"/>
      <c r="I406" s="7"/>
    </row>
    <row r="407" ht="14.25" customHeight="1">
      <c r="A407" s="7" t="s">
        <v>54</v>
      </c>
      <c r="B407" s="7" t="s">
        <v>54</v>
      </c>
      <c r="C407" s="7" t="s">
        <v>33</v>
      </c>
      <c r="D407" s="7" t="s">
        <v>466</v>
      </c>
      <c r="E407" s="7" t="s">
        <v>41</v>
      </c>
      <c r="F407" s="9" t="s">
        <v>23</v>
      </c>
      <c r="G407" s="10"/>
      <c r="H407" s="7"/>
      <c r="I407" s="7"/>
    </row>
    <row r="408" ht="14.25" customHeight="1">
      <c r="A408" s="7" t="s">
        <v>54</v>
      </c>
      <c r="B408" s="7" t="s">
        <v>54</v>
      </c>
      <c r="C408" s="7" t="s">
        <v>33</v>
      </c>
      <c r="D408" s="7" t="s">
        <v>467</v>
      </c>
      <c r="E408" s="7" t="s">
        <v>41</v>
      </c>
      <c r="F408" s="9" t="s">
        <v>23</v>
      </c>
      <c r="G408" s="10"/>
      <c r="H408" s="7"/>
      <c r="I408" s="7"/>
    </row>
    <row r="409" ht="14.25" customHeight="1">
      <c r="A409" s="7" t="s">
        <v>54</v>
      </c>
      <c r="B409" s="7" t="s">
        <v>54</v>
      </c>
      <c r="C409" s="7" t="s">
        <v>33</v>
      </c>
      <c r="D409" s="7" t="s">
        <v>468</v>
      </c>
      <c r="E409" s="7" t="s">
        <v>41</v>
      </c>
      <c r="F409" s="9" t="s">
        <v>23</v>
      </c>
      <c r="G409" s="10"/>
      <c r="H409" s="7"/>
      <c r="I409" s="7"/>
    </row>
    <row r="410" ht="14.25" customHeight="1">
      <c r="A410" s="7" t="s">
        <v>54</v>
      </c>
      <c r="B410" s="7" t="s">
        <v>54</v>
      </c>
      <c r="C410" s="7" t="s">
        <v>33</v>
      </c>
      <c r="D410" s="7" t="s">
        <v>469</v>
      </c>
      <c r="E410" s="7" t="s">
        <v>65</v>
      </c>
      <c r="F410" s="9" t="s">
        <v>23</v>
      </c>
      <c r="G410" s="10"/>
      <c r="H410" s="7"/>
      <c r="I410" s="7"/>
    </row>
    <row r="411" ht="14.25" customHeight="1">
      <c r="A411" s="7" t="s">
        <v>54</v>
      </c>
      <c r="B411" s="7" t="s">
        <v>54</v>
      </c>
      <c r="C411" s="7" t="s">
        <v>33</v>
      </c>
      <c r="D411" s="7" t="s">
        <v>470</v>
      </c>
      <c r="E411" s="7" t="s">
        <v>41</v>
      </c>
      <c r="F411" s="9" t="s">
        <v>23</v>
      </c>
      <c r="G411" s="10"/>
      <c r="H411" s="7"/>
      <c r="I411" s="7"/>
    </row>
    <row r="412" ht="14.25" customHeight="1">
      <c r="A412" s="7" t="s">
        <v>54</v>
      </c>
      <c r="B412" s="7" t="s">
        <v>54</v>
      </c>
      <c r="C412" s="7" t="s">
        <v>33</v>
      </c>
      <c r="D412" s="7" t="s">
        <v>471</v>
      </c>
      <c r="E412" s="7" t="s">
        <v>41</v>
      </c>
      <c r="F412" s="9" t="s">
        <v>23</v>
      </c>
      <c r="G412" s="10"/>
      <c r="H412" s="7"/>
      <c r="I412" s="7"/>
    </row>
    <row r="413" ht="14.25" customHeight="1">
      <c r="A413" s="7" t="s">
        <v>54</v>
      </c>
      <c r="B413" s="7" t="s">
        <v>54</v>
      </c>
      <c r="C413" s="7" t="s">
        <v>103</v>
      </c>
      <c r="D413" s="7" t="s">
        <v>472</v>
      </c>
      <c r="E413" s="7" t="s">
        <v>41</v>
      </c>
      <c r="F413" s="9" t="s">
        <v>23</v>
      </c>
      <c r="G413" s="10"/>
      <c r="H413" s="7"/>
      <c r="I413" s="7"/>
    </row>
    <row r="414" ht="14.25" customHeight="1">
      <c r="A414" s="7" t="s">
        <v>54</v>
      </c>
      <c r="B414" s="7" t="s">
        <v>54</v>
      </c>
      <c r="C414" s="7" t="s">
        <v>103</v>
      </c>
      <c r="D414" s="7" t="s">
        <v>473</v>
      </c>
      <c r="E414" s="7" t="s">
        <v>41</v>
      </c>
      <c r="F414" s="9" t="s">
        <v>23</v>
      </c>
      <c r="G414" s="10"/>
      <c r="H414" s="7"/>
      <c r="I414" s="7"/>
    </row>
    <row r="415" ht="14.25" customHeight="1">
      <c r="A415" s="7" t="s">
        <v>54</v>
      </c>
      <c r="B415" s="7" t="s">
        <v>54</v>
      </c>
      <c r="C415" s="7" t="s">
        <v>103</v>
      </c>
      <c r="D415" s="7" t="s">
        <v>474</v>
      </c>
      <c r="E415" s="7" t="s">
        <v>41</v>
      </c>
      <c r="F415" s="9" t="s">
        <v>23</v>
      </c>
      <c r="G415" s="10"/>
      <c r="H415" s="7"/>
      <c r="I415" s="7"/>
    </row>
    <row r="416" ht="14.25" customHeight="1">
      <c r="A416" s="7" t="s">
        <v>54</v>
      </c>
      <c r="B416" s="7" t="s">
        <v>54</v>
      </c>
      <c r="C416" s="7" t="s">
        <v>103</v>
      </c>
      <c r="D416" s="7" t="s">
        <v>103</v>
      </c>
      <c r="E416" s="7" t="s">
        <v>41</v>
      </c>
      <c r="F416" s="9" t="s">
        <v>23</v>
      </c>
      <c r="G416" s="10"/>
      <c r="H416" s="7"/>
      <c r="I416" s="7"/>
    </row>
    <row r="417" ht="14.25" customHeight="1">
      <c r="A417" s="7" t="s">
        <v>54</v>
      </c>
      <c r="B417" s="7" t="s">
        <v>54</v>
      </c>
      <c r="C417" s="7" t="s">
        <v>103</v>
      </c>
      <c r="D417" s="7" t="s">
        <v>475</v>
      </c>
      <c r="E417" s="7" t="s">
        <v>41</v>
      </c>
      <c r="F417" s="9" t="s">
        <v>23</v>
      </c>
      <c r="G417" s="10"/>
      <c r="H417" s="7"/>
      <c r="I417" s="7"/>
    </row>
    <row r="418" ht="14.25" customHeight="1">
      <c r="A418" s="7" t="s">
        <v>54</v>
      </c>
      <c r="B418" s="7" t="s">
        <v>54</v>
      </c>
      <c r="C418" s="7" t="s">
        <v>103</v>
      </c>
      <c r="D418" s="7" t="s">
        <v>476</v>
      </c>
      <c r="E418" s="7" t="s">
        <v>41</v>
      </c>
      <c r="F418" s="9" t="s">
        <v>23</v>
      </c>
      <c r="G418" s="10"/>
      <c r="H418" s="7"/>
      <c r="I418" s="7"/>
    </row>
    <row r="419" ht="14.25" customHeight="1">
      <c r="A419" s="7" t="s">
        <v>54</v>
      </c>
      <c r="B419" s="7" t="s">
        <v>54</v>
      </c>
      <c r="C419" s="7" t="s">
        <v>103</v>
      </c>
      <c r="D419" s="7" t="s">
        <v>477</v>
      </c>
      <c r="E419" s="7" t="s">
        <v>41</v>
      </c>
      <c r="F419" s="9" t="s">
        <v>23</v>
      </c>
      <c r="G419" s="10"/>
      <c r="H419" s="7"/>
      <c r="I419" s="7"/>
    </row>
    <row r="420" ht="14.25" customHeight="1">
      <c r="A420" s="7" t="s">
        <v>54</v>
      </c>
      <c r="B420" s="7" t="s">
        <v>54</v>
      </c>
      <c r="C420" s="7" t="s">
        <v>103</v>
      </c>
      <c r="D420" s="7" t="s">
        <v>478</v>
      </c>
      <c r="E420" s="7" t="s">
        <v>41</v>
      </c>
      <c r="F420" s="9" t="s">
        <v>23</v>
      </c>
      <c r="G420" s="10"/>
      <c r="H420" s="7"/>
      <c r="I420" s="7"/>
    </row>
    <row r="421" ht="14.25" customHeight="1">
      <c r="A421" s="7" t="s">
        <v>54</v>
      </c>
      <c r="B421" s="7" t="s">
        <v>54</v>
      </c>
      <c r="C421" s="7" t="s">
        <v>103</v>
      </c>
      <c r="D421" s="7" t="s">
        <v>479</v>
      </c>
      <c r="E421" s="7" t="s">
        <v>179</v>
      </c>
      <c r="F421" s="9" t="s">
        <v>23</v>
      </c>
      <c r="G421" s="10"/>
      <c r="H421" s="7"/>
      <c r="I421" s="7"/>
    </row>
    <row r="422" ht="14.25" customHeight="1">
      <c r="A422" s="7" t="s">
        <v>54</v>
      </c>
      <c r="B422" s="7" t="s">
        <v>54</v>
      </c>
      <c r="C422" s="7" t="s">
        <v>103</v>
      </c>
      <c r="D422" s="7" t="s">
        <v>480</v>
      </c>
      <c r="E422" s="7" t="s">
        <v>41</v>
      </c>
      <c r="F422" s="9" t="s">
        <v>23</v>
      </c>
      <c r="G422" s="10"/>
      <c r="H422" s="7"/>
      <c r="I422" s="7"/>
    </row>
    <row r="423" ht="14.25" customHeight="1">
      <c r="A423" s="7" t="s">
        <v>54</v>
      </c>
      <c r="B423" s="7" t="s">
        <v>54</v>
      </c>
      <c r="C423" s="7" t="s">
        <v>119</v>
      </c>
      <c r="D423" s="7" t="s">
        <v>481</v>
      </c>
      <c r="E423" s="7" t="s">
        <v>41</v>
      </c>
      <c r="F423" s="9" t="s">
        <v>23</v>
      </c>
      <c r="G423" s="10"/>
      <c r="H423" s="7"/>
      <c r="I423" s="7"/>
    </row>
    <row r="424" ht="14.25" customHeight="1">
      <c r="A424" s="7" t="s">
        <v>54</v>
      </c>
      <c r="B424" s="7" t="s">
        <v>54</v>
      </c>
      <c r="C424" s="7" t="s">
        <v>119</v>
      </c>
      <c r="D424" s="7" t="s">
        <v>482</v>
      </c>
      <c r="E424" s="7" t="s">
        <v>41</v>
      </c>
      <c r="F424" s="9" t="s">
        <v>23</v>
      </c>
      <c r="G424" s="10"/>
      <c r="H424" s="7"/>
      <c r="I424" s="7"/>
    </row>
    <row r="425" ht="14.25" customHeight="1">
      <c r="A425" s="7" t="s">
        <v>54</v>
      </c>
      <c r="B425" s="7" t="s">
        <v>54</v>
      </c>
      <c r="C425" s="7" t="s">
        <v>119</v>
      </c>
      <c r="D425" s="7" t="s">
        <v>483</v>
      </c>
      <c r="E425" s="7" t="s">
        <v>179</v>
      </c>
      <c r="F425" s="9" t="s">
        <v>23</v>
      </c>
      <c r="G425" s="10"/>
      <c r="H425" s="7"/>
      <c r="I425" s="7"/>
    </row>
    <row r="426" ht="14.25" customHeight="1">
      <c r="A426" s="7" t="s">
        <v>54</v>
      </c>
      <c r="B426" s="7" t="s">
        <v>54</v>
      </c>
      <c r="C426" s="7" t="s">
        <v>119</v>
      </c>
      <c r="D426" s="7" t="s">
        <v>484</v>
      </c>
      <c r="E426" s="7" t="s">
        <v>41</v>
      </c>
      <c r="F426" s="9" t="s">
        <v>23</v>
      </c>
      <c r="G426" s="10"/>
      <c r="H426" s="7"/>
      <c r="I426" s="7"/>
    </row>
    <row r="427" ht="14.25" customHeight="1">
      <c r="A427" s="7" t="s">
        <v>54</v>
      </c>
      <c r="B427" s="7" t="s">
        <v>54</v>
      </c>
      <c r="C427" s="7" t="s">
        <v>119</v>
      </c>
      <c r="D427" s="7" t="s">
        <v>119</v>
      </c>
      <c r="E427" s="7" t="s">
        <v>41</v>
      </c>
      <c r="F427" s="9" t="s">
        <v>23</v>
      </c>
      <c r="G427" s="10"/>
      <c r="H427" s="7"/>
      <c r="I427" s="7"/>
    </row>
    <row r="428" ht="14.25" customHeight="1">
      <c r="A428" s="7" t="s">
        <v>54</v>
      </c>
      <c r="B428" s="7" t="s">
        <v>54</v>
      </c>
      <c r="C428" s="7" t="s">
        <v>119</v>
      </c>
      <c r="D428" s="7" t="s">
        <v>485</v>
      </c>
      <c r="E428" s="7" t="s">
        <v>41</v>
      </c>
      <c r="F428" s="9" t="s">
        <v>23</v>
      </c>
      <c r="G428" s="10"/>
      <c r="H428" s="7"/>
      <c r="I428" s="7"/>
    </row>
    <row r="429" ht="14.25" customHeight="1">
      <c r="A429" s="7" t="s">
        <v>54</v>
      </c>
      <c r="B429" s="7" t="s">
        <v>54</v>
      </c>
      <c r="C429" s="7" t="s">
        <v>119</v>
      </c>
      <c r="D429" s="7" t="s">
        <v>486</v>
      </c>
      <c r="E429" s="7" t="s">
        <v>41</v>
      </c>
      <c r="F429" s="9" t="s">
        <v>23</v>
      </c>
      <c r="G429" s="10"/>
      <c r="H429" s="7"/>
      <c r="I429" s="7"/>
    </row>
    <row r="430" ht="14.25" customHeight="1">
      <c r="A430" s="7" t="s">
        <v>54</v>
      </c>
      <c r="B430" s="7" t="s">
        <v>54</v>
      </c>
      <c r="C430" s="7" t="s">
        <v>119</v>
      </c>
      <c r="D430" s="7" t="s">
        <v>487</v>
      </c>
      <c r="E430" s="7" t="s">
        <v>41</v>
      </c>
      <c r="F430" s="9" t="s">
        <v>23</v>
      </c>
      <c r="G430" s="10"/>
      <c r="H430" s="7"/>
      <c r="I430" s="7"/>
    </row>
    <row r="431" ht="14.25" customHeight="1">
      <c r="A431" s="7" t="s">
        <v>54</v>
      </c>
      <c r="B431" s="7" t="s">
        <v>54</v>
      </c>
      <c r="C431" s="7" t="s">
        <v>119</v>
      </c>
      <c r="D431" s="7" t="s">
        <v>488</v>
      </c>
      <c r="E431" s="7" t="s">
        <v>41</v>
      </c>
      <c r="F431" s="9" t="s">
        <v>23</v>
      </c>
      <c r="G431" s="10"/>
      <c r="H431" s="7"/>
      <c r="I431" s="7"/>
    </row>
    <row r="432" ht="14.25" customHeight="1">
      <c r="A432" s="7" t="s">
        <v>54</v>
      </c>
      <c r="B432" s="7" t="s">
        <v>54</v>
      </c>
      <c r="C432" s="7" t="s">
        <v>119</v>
      </c>
      <c r="D432" s="7" t="s">
        <v>489</v>
      </c>
      <c r="E432" s="7" t="s">
        <v>41</v>
      </c>
      <c r="F432" s="9" t="s">
        <v>23</v>
      </c>
      <c r="G432" s="10"/>
      <c r="H432" s="7"/>
      <c r="I432" s="7"/>
    </row>
    <row r="433" ht="14.25" customHeight="1">
      <c r="F433" s="9"/>
    </row>
    <row r="434" ht="14.25" customHeight="1">
      <c r="F434" s="9"/>
    </row>
    <row r="435" ht="14.25" customHeight="1">
      <c r="F435" s="9"/>
    </row>
    <row r="436" ht="14.25" customHeight="1">
      <c r="F436" s="9"/>
    </row>
    <row r="437" ht="14.25" customHeight="1">
      <c r="F437" s="9"/>
    </row>
    <row r="438" ht="14.25" customHeight="1">
      <c r="F438" s="9"/>
    </row>
    <row r="439" ht="14.25" customHeight="1">
      <c r="F439" s="9"/>
    </row>
    <row r="440" ht="14.25" customHeight="1">
      <c r="F440" s="9"/>
    </row>
    <row r="441" ht="14.25" customHeight="1">
      <c r="F441" s="9"/>
    </row>
    <row r="442" ht="14.25" customHeight="1">
      <c r="F442" s="9"/>
    </row>
    <row r="443" ht="14.25" customHeight="1">
      <c r="F443" s="9"/>
    </row>
    <row r="444" ht="14.25" customHeight="1">
      <c r="F444" s="9"/>
    </row>
    <row r="445" ht="14.25" customHeight="1">
      <c r="F445" s="9"/>
    </row>
    <row r="446" ht="14.25" customHeight="1">
      <c r="F446" s="9"/>
    </row>
    <row r="447" ht="14.25" customHeight="1">
      <c r="F447" s="9"/>
    </row>
    <row r="448" ht="14.25" customHeight="1">
      <c r="F448" s="9"/>
    </row>
    <row r="449" ht="14.25" customHeight="1">
      <c r="F449" s="9"/>
    </row>
    <row r="450" ht="14.25" customHeight="1">
      <c r="F450" s="9"/>
    </row>
    <row r="451" ht="14.25" customHeight="1">
      <c r="F451" s="9"/>
    </row>
    <row r="452" ht="14.25" customHeight="1">
      <c r="F452" s="9"/>
    </row>
    <row r="453" ht="14.25" customHeight="1">
      <c r="F453" s="9"/>
    </row>
    <row r="454" ht="14.25" customHeight="1">
      <c r="F454" s="9"/>
    </row>
    <row r="455" ht="14.25" customHeight="1">
      <c r="F455" s="9"/>
    </row>
    <row r="456" ht="14.25" customHeight="1">
      <c r="F456" s="9"/>
    </row>
    <row r="457" ht="14.25" customHeight="1">
      <c r="F457" s="9"/>
    </row>
    <row r="458" ht="14.25" customHeight="1">
      <c r="F458" s="9"/>
    </row>
    <row r="459" ht="14.25" customHeight="1">
      <c r="F459" s="9"/>
    </row>
    <row r="460" ht="14.25" customHeight="1">
      <c r="F460" s="9"/>
    </row>
    <row r="461" ht="14.25" customHeight="1">
      <c r="F461" s="9"/>
    </row>
    <row r="462" ht="14.25" customHeight="1">
      <c r="F462" s="9"/>
    </row>
    <row r="463" ht="14.25" customHeight="1">
      <c r="F463" s="9"/>
    </row>
    <row r="464" ht="14.25" customHeight="1">
      <c r="F464" s="9"/>
    </row>
    <row r="465" ht="14.25" customHeight="1">
      <c r="F465" s="9"/>
    </row>
    <row r="466" ht="14.25" customHeight="1">
      <c r="F466" s="9"/>
    </row>
    <row r="467" ht="14.25" customHeight="1">
      <c r="F467" s="9"/>
    </row>
    <row r="468" ht="14.25" customHeight="1">
      <c r="F468" s="9"/>
    </row>
    <row r="469" ht="14.25" customHeight="1">
      <c r="F469" s="9"/>
    </row>
    <row r="470" ht="14.25" customHeight="1">
      <c r="F470" s="9"/>
    </row>
    <row r="471" ht="14.25" customHeight="1">
      <c r="F471" s="9"/>
    </row>
    <row r="472" ht="14.25" customHeight="1">
      <c r="F472" s="9"/>
    </row>
    <row r="473" ht="14.25" customHeight="1">
      <c r="F473" s="9"/>
    </row>
    <row r="474" ht="14.25" customHeight="1">
      <c r="F474" s="9"/>
    </row>
    <row r="475" ht="14.25" customHeight="1">
      <c r="F475" s="9"/>
    </row>
    <row r="476" ht="14.25" customHeight="1">
      <c r="F476" s="9"/>
    </row>
    <row r="477" ht="14.25" customHeight="1">
      <c r="F477" s="9"/>
    </row>
    <row r="478" ht="14.25" customHeight="1">
      <c r="F478" s="9"/>
    </row>
    <row r="479" ht="14.25" customHeight="1">
      <c r="F479" s="9"/>
    </row>
    <row r="480" ht="14.25" customHeight="1">
      <c r="F480" s="9"/>
    </row>
    <row r="481" ht="14.25" customHeight="1">
      <c r="F481" s="9"/>
    </row>
    <row r="482" ht="14.25" customHeight="1">
      <c r="F482" s="9"/>
    </row>
    <row r="483" ht="14.25" customHeight="1">
      <c r="F483" s="9"/>
    </row>
    <row r="484" ht="14.25" customHeight="1">
      <c r="F484" s="9"/>
    </row>
    <row r="485" ht="14.25" customHeight="1">
      <c r="F485" s="9"/>
    </row>
    <row r="486" ht="14.25" customHeight="1">
      <c r="F486" s="9"/>
    </row>
    <row r="487" ht="14.25" customHeight="1">
      <c r="F487" s="9"/>
    </row>
    <row r="488" ht="14.25" customHeight="1">
      <c r="F488" s="9"/>
    </row>
    <row r="489" ht="14.25" customHeight="1">
      <c r="F489" s="9"/>
    </row>
    <row r="490" ht="14.25" customHeight="1">
      <c r="F490" s="9"/>
    </row>
    <row r="491" ht="14.25" customHeight="1">
      <c r="F491" s="9"/>
    </row>
    <row r="492" ht="14.25" customHeight="1">
      <c r="F492" s="9"/>
    </row>
    <row r="493" ht="14.25" customHeight="1">
      <c r="F493" s="9"/>
    </row>
    <row r="494" ht="14.25" customHeight="1">
      <c r="F494" s="9"/>
    </row>
    <row r="495" ht="14.25" customHeight="1">
      <c r="F495" s="9"/>
    </row>
    <row r="496" ht="14.25" customHeight="1">
      <c r="F496" s="9"/>
    </row>
    <row r="497" ht="14.25" customHeight="1">
      <c r="F497" s="9"/>
    </row>
    <row r="498" ht="14.25" customHeight="1">
      <c r="F498" s="9"/>
    </row>
    <row r="499" ht="14.25" customHeight="1">
      <c r="F499" s="9"/>
    </row>
    <row r="500" ht="14.25" customHeight="1">
      <c r="F500" s="9"/>
    </row>
    <row r="501" ht="14.25" customHeight="1">
      <c r="F501" s="9"/>
    </row>
    <row r="502" ht="14.25" customHeight="1">
      <c r="F502" s="9"/>
    </row>
    <row r="503" ht="14.25" customHeight="1">
      <c r="F503" s="9"/>
    </row>
    <row r="504" ht="14.25" customHeight="1">
      <c r="F504" s="9"/>
    </row>
    <row r="505" ht="14.25" customHeight="1">
      <c r="F505" s="9"/>
    </row>
    <row r="506" ht="14.25" customHeight="1">
      <c r="F506" s="9"/>
    </row>
    <row r="507" ht="14.25" customHeight="1">
      <c r="F507" s="9"/>
    </row>
    <row r="508" ht="14.25" customHeight="1">
      <c r="F508" s="9"/>
    </row>
    <row r="509" ht="14.25" customHeight="1">
      <c r="F509" s="9"/>
    </row>
    <row r="510" ht="14.25" customHeight="1">
      <c r="F510" s="9"/>
    </row>
    <row r="511" ht="14.25" customHeight="1">
      <c r="F511" s="9"/>
    </row>
    <row r="512" ht="14.25" customHeight="1">
      <c r="F512" s="9"/>
    </row>
    <row r="513" ht="14.25" customHeight="1">
      <c r="F513" s="9"/>
    </row>
    <row r="514" ht="14.25" customHeight="1">
      <c r="F514" s="9"/>
    </row>
    <row r="515" ht="14.25" customHeight="1">
      <c r="F515" s="9"/>
    </row>
    <row r="516" ht="14.25" customHeight="1">
      <c r="F516" s="9"/>
    </row>
    <row r="517" ht="14.25" customHeight="1">
      <c r="F517" s="9"/>
    </row>
    <row r="518" ht="14.25" customHeight="1">
      <c r="F518" s="9"/>
    </row>
    <row r="519" ht="14.25" customHeight="1">
      <c r="F519" s="9"/>
    </row>
    <row r="520" ht="14.25" customHeight="1">
      <c r="F520" s="9"/>
    </row>
    <row r="521" ht="14.25" customHeight="1">
      <c r="F521" s="9"/>
    </row>
    <row r="522" ht="14.25" customHeight="1">
      <c r="F522" s="9"/>
    </row>
    <row r="523" ht="14.25" customHeight="1">
      <c r="F523" s="9"/>
    </row>
    <row r="524" ht="14.25" customHeight="1">
      <c r="F524" s="9"/>
    </row>
    <row r="525" ht="14.25" customHeight="1">
      <c r="F525" s="9"/>
    </row>
    <row r="526" ht="14.25" customHeight="1">
      <c r="F526" s="9"/>
    </row>
    <row r="527" ht="14.25" customHeight="1">
      <c r="F527" s="9"/>
    </row>
    <row r="528" ht="14.25" customHeight="1">
      <c r="F528" s="9"/>
    </row>
    <row r="529" ht="14.25" customHeight="1">
      <c r="F529" s="9"/>
    </row>
    <row r="530" ht="14.25" customHeight="1">
      <c r="F530" s="9"/>
    </row>
    <row r="531" ht="14.25" customHeight="1">
      <c r="F531" s="9"/>
    </row>
    <row r="532" ht="14.25" customHeight="1">
      <c r="F532" s="9"/>
    </row>
    <row r="533" ht="14.25" customHeight="1">
      <c r="F533" s="9"/>
    </row>
    <row r="534" ht="14.25" customHeight="1">
      <c r="F534" s="9"/>
    </row>
    <row r="535" ht="14.25" customHeight="1">
      <c r="F535" s="9"/>
    </row>
    <row r="536" ht="14.25" customHeight="1">
      <c r="F536" s="9"/>
    </row>
    <row r="537" ht="14.25" customHeight="1">
      <c r="F537" s="9"/>
    </row>
    <row r="538" ht="14.25" customHeight="1">
      <c r="F538" s="9"/>
    </row>
    <row r="539" ht="14.25" customHeight="1">
      <c r="F539" s="9"/>
    </row>
    <row r="540" ht="14.25" customHeight="1">
      <c r="F540" s="9"/>
    </row>
    <row r="541" ht="14.25" customHeight="1">
      <c r="F541" s="9"/>
    </row>
    <row r="542" ht="14.25" customHeight="1">
      <c r="F542" s="9"/>
    </row>
    <row r="543" ht="14.25" customHeight="1">
      <c r="F543" s="9"/>
    </row>
    <row r="544" ht="14.25" customHeight="1">
      <c r="F544" s="9"/>
    </row>
    <row r="545" ht="14.25" customHeight="1">
      <c r="F545" s="9"/>
    </row>
    <row r="546" ht="14.25" customHeight="1">
      <c r="F546" s="9"/>
    </row>
    <row r="547" ht="14.25" customHeight="1">
      <c r="F547" s="9"/>
    </row>
    <row r="548" ht="14.25" customHeight="1">
      <c r="F548" s="9"/>
    </row>
    <row r="549" ht="14.25" customHeight="1">
      <c r="F549" s="9"/>
    </row>
    <row r="550" ht="14.25" customHeight="1">
      <c r="F550" s="9"/>
    </row>
    <row r="551" ht="14.25" customHeight="1">
      <c r="F551" s="9"/>
    </row>
    <row r="552" ht="14.25" customHeight="1">
      <c r="F552" s="9"/>
    </row>
    <row r="553" ht="14.25" customHeight="1">
      <c r="F553" s="9"/>
    </row>
    <row r="554" ht="14.25" customHeight="1">
      <c r="F554" s="9"/>
    </row>
    <row r="555" ht="14.25" customHeight="1">
      <c r="F555" s="9"/>
    </row>
    <row r="556" ht="14.25" customHeight="1">
      <c r="F556" s="9"/>
    </row>
    <row r="557" ht="14.25" customHeight="1">
      <c r="F557" s="9"/>
    </row>
    <row r="558" ht="14.25" customHeight="1">
      <c r="F558" s="9"/>
    </row>
    <row r="559" ht="14.25" customHeight="1">
      <c r="F559" s="9"/>
    </row>
    <row r="560" ht="14.25" customHeight="1">
      <c r="F560" s="9"/>
    </row>
    <row r="561" ht="14.25" customHeight="1">
      <c r="F561" s="9"/>
    </row>
    <row r="562" ht="14.25" customHeight="1">
      <c r="F562" s="9"/>
    </row>
    <row r="563" ht="14.25" customHeight="1">
      <c r="F563" s="9"/>
    </row>
    <row r="564" ht="14.25" customHeight="1">
      <c r="F564" s="9"/>
    </row>
    <row r="565" ht="14.25" customHeight="1">
      <c r="F565" s="9"/>
    </row>
    <row r="566" ht="14.25" customHeight="1">
      <c r="F566" s="9"/>
    </row>
    <row r="567" ht="14.25" customHeight="1">
      <c r="F567" s="9"/>
    </row>
    <row r="568" ht="14.25" customHeight="1">
      <c r="F568" s="9"/>
    </row>
    <row r="569" ht="14.25" customHeight="1">
      <c r="F569" s="9"/>
    </row>
    <row r="570" ht="14.25" customHeight="1">
      <c r="F570" s="9"/>
    </row>
    <row r="571" ht="14.25" customHeight="1">
      <c r="F571" s="9"/>
    </row>
    <row r="572" ht="14.25" customHeight="1">
      <c r="F572" s="9"/>
    </row>
    <row r="573" ht="14.25" customHeight="1">
      <c r="F573" s="9"/>
    </row>
    <row r="574" ht="14.25" customHeight="1">
      <c r="F574" s="9"/>
    </row>
    <row r="575" ht="14.25" customHeight="1">
      <c r="F575" s="9"/>
    </row>
    <row r="576" ht="14.25" customHeight="1">
      <c r="F576" s="9"/>
    </row>
    <row r="577" ht="14.25" customHeight="1">
      <c r="F577" s="9"/>
    </row>
    <row r="578" ht="14.25" customHeight="1">
      <c r="F578" s="9"/>
    </row>
    <row r="579" ht="14.25" customHeight="1">
      <c r="F579" s="9"/>
    </row>
    <row r="580" ht="14.25" customHeight="1">
      <c r="F580" s="9"/>
    </row>
    <row r="581" ht="14.25" customHeight="1">
      <c r="F581" s="9"/>
    </row>
    <row r="582" ht="14.25" customHeight="1">
      <c r="F582" s="9"/>
    </row>
    <row r="583" ht="14.25" customHeight="1">
      <c r="F583" s="9"/>
    </row>
    <row r="584" ht="14.25" customHeight="1">
      <c r="F584" s="9"/>
    </row>
    <row r="585" ht="14.25" customHeight="1">
      <c r="F585" s="9"/>
    </row>
    <row r="586" ht="14.25" customHeight="1">
      <c r="F586" s="9"/>
    </row>
    <row r="587" ht="14.25" customHeight="1">
      <c r="F587" s="9"/>
    </row>
    <row r="588" ht="14.25" customHeight="1">
      <c r="F588" s="9"/>
    </row>
    <row r="589" ht="14.25" customHeight="1">
      <c r="F589" s="9"/>
    </row>
    <row r="590" ht="14.25" customHeight="1">
      <c r="F590" s="9"/>
    </row>
    <row r="591" ht="14.25" customHeight="1">
      <c r="F591" s="9"/>
    </row>
    <row r="592" ht="14.25" customHeight="1">
      <c r="F592" s="9"/>
    </row>
    <row r="593" ht="14.25" customHeight="1">
      <c r="F593" s="9"/>
    </row>
    <row r="594" ht="14.25" customHeight="1">
      <c r="F594" s="9"/>
    </row>
    <row r="595" ht="14.25" customHeight="1">
      <c r="F595" s="9"/>
    </row>
    <row r="596" ht="14.25" customHeight="1">
      <c r="F596" s="9"/>
    </row>
    <row r="597" ht="14.25" customHeight="1">
      <c r="F597" s="9"/>
    </row>
    <row r="598" ht="14.25" customHeight="1">
      <c r="F598" s="9"/>
    </row>
    <row r="599" ht="14.25" customHeight="1">
      <c r="F599" s="9"/>
    </row>
    <row r="600" ht="14.25" customHeight="1">
      <c r="F600" s="9"/>
    </row>
    <row r="601" ht="14.25" customHeight="1">
      <c r="F601" s="9"/>
    </row>
    <row r="602" ht="14.25" customHeight="1">
      <c r="F602" s="9"/>
    </row>
    <row r="603" ht="14.25" customHeight="1">
      <c r="F603" s="9"/>
    </row>
    <row r="604" ht="14.25" customHeight="1">
      <c r="F604" s="9"/>
    </row>
    <row r="605" ht="14.25" customHeight="1">
      <c r="F605" s="9"/>
    </row>
    <row r="606" ht="14.25" customHeight="1">
      <c r="F606" s="9"/>
    </row>
    <row r="607" ht="14.25" customHeight="1">
      <c r="F607" s="9"/>
    </row>
    <row r="608" ht="14.25" customHeight="1">
      <c r="F608" s="9"/>
    </row>
    <row r="609" ht="14.25" customHeight="1">
      <c r="F609" s="9"/>
    </row>
    <row r="610" ht="14.25" customHeight="1">
      <c r="F610" s="9"/>
    </row>
    <row r="611" ht="14.25" customHeight="1">
      <c r="F611" s="9"/>
    </row>
    <row r="612" ht="14.25" customHeight="1">
      <c r="F612" s="9"/>
    </row>
    <row r="613" ht="14.25" customHeight="1">
      <c r="F613" s="9"/>
    </row>
    <row r="614" ht="14.25" customHeight="1">
      <c r="F614" s="9"/>
    </row>
    <row r="615" ht="14.25" customHeight="1">
      <c r="F615" s="9"/>
    </row>
    <row r="616" ht="14.25" customHeight="1">
      <c r="F616" s="9"/>
    </row>
    <row r="617" ht="14.25" customHeight="1">
      <c r="F617" s="9"/>
    </row>
    <row r="618" ht="14.25" customHeight="1">
      <c r="F618" s="9"/>
    </row>
    <row r="619" ht="14.25" customHeight="1">
      <c r="F619" s="9"/>
    </row>
    <row r="620" ht="14.25" customHeight="1">
      <c r="F620" s="9"/>
    </row>
    <row r="621" ht="14.25" customHeight="1">
      <c r="F621" s="9"/>
    </row>
    <row r="622" ht="14.25" customHeight="1">
      <c r="F622" s="9"/>
    </row>
    <row r="623" ht="14.25" customHeight="1">
      <c r="F623" s="9"/>
    </row>
    <row r="624" ht="14.25" customHeight="1">
      <c r="F624" s="9"/>
    </row>
    <row r="625" ht="14.25" customHeight="1">
      <c r="F625" s="9"/>
    </row>
    <row r="626" ht="14.25" customHeight="1">
      <c r="F626" s="9"/>
    </row>
    <row r="627" ht="14.25" customHeight="1">
      <c r="F627" s="9"/>
    </row>
    <row r="628" ht="14.25" customHeight="1">
      <c r="F628" s="9"/>
    </row>
    <row r="629" ht="14.25" customHeight="1">
      <c r="F629" s="9"/>
    </row>
    <row r="630" ht="14.25" customHeight="1">
      <c r="F630" s="9"/>
    </row>
    <row r="631" ht="14.25" customHeight="1">
      <c r="F631" s="9"/>
    </row>
    <row r="632" ht="14.25" customHeight="1">
      <c r="F632" s="9"/>
    </row>
    <row r="633" ht="14.25" customHeight="1">
      <c r="F633" s="9"/>
    </row>
    <row r="634" ht="14.25" customHeight="1">
      <c r="F634" s="9"/>
    </row>
    <row r="635" ht="14.25" customHeight="1">
      <c r="F635" s="9"/>
    </row>
    <row r="636" ht="14.25" customHeight="1">
      <c r="F636" s="9"/>
    </row>
    <row r="637" ht="14.25" customHeight="1">
      <c r="F637" s="9"/>
    </row>
    <row r="638" ht="14.25" customHeight="1">
      <c r="F638" s="9"/>
    </row>
    <row r="639" ht="14.25" customHeight="1">
      <c r="F639" s="9"/>
    </row>
    <row r="640" ht="14.25" customHeight="1">
      <c r="F640" s="9"/>
    </row>
    <row r="641" ht="14.25" customHeight="1">
      <c r="F641" s="9"/>
    </row>
    <row r="642" ht="14.25" customHeight="1">
      <c r="F642" s="9"/>
    </row>
    <row r="643" ht="14.25" customHeight="1">
      <c r="F643" s="9"/>
    </row>
    <row r="644" ht="14.25" customHeight="1">
      <c r="F644" s="9"/>
    </row>
    <row r="645" ht="14.25" customHeight="1">
      <c r="F645" s="9"/>
    </row>
    <row r="646" ht="14.25" customHeight="1">
      <c r="F646" s="9"/>
    </row>
    <row r="647" ht="14.25" customHeight="1">
      <c r="F647" s="9"/>
    </row>
    <row r="648" ht="14.25" customHeight="1">
      <c r="F648" s="9"/>
    </row>
    <row r="649" ht="14.25" customHeight="1">
      <c r="F649" s="9"/>
    </row>
    <row r="650" ht="14.25" customHeight="1">
      <c r="F650" s="9"/>
    </row>
    <row r="651" ht="14.25" customHeight="1">
      <c r="F651" s="9"/>
    </row>
    <row r="652" ht="14.25" customHeight="1">
      <c r="F652" s="9"/>
    </row>
    <row r="653" ht="14.25" customHeight="1">
      <c r="F653" s="9"/>
    </row>
    <row r="654" ht="14.25" customHeight="1">
      <c r="F654" s="9"/>
    </row>
    <row r="655" ht="14.25" customHeight="1">
      <c r="F655" s="9"/>
    </row>
    <row r="656" ht="14.25" customHeight="1">
      <c r="F656" s="9"/>
    </row>
    <row r="657" ht="14.25" customHeight="1">
      <c r="F657" s="9"/>
    </row>
    <row r="658" ht="14.25" customHeight="1">
      <c r="F658" s="9"/>
    </row>
    <row r="659" ht="14.25" customHeight="1">
      <c r="F659" s="9"/>
    </row>
    <row r="660" ht="14.25" customHeight="1">
      <c r="F660" s="9"/>
    </row>
    <row r="661" ht="14.25" customHeight="1">
      <c r="F661" s="9"/>
    </row>
    <row r="662" ht="14.25" customHeight="1">
      <c r="F662" s="9"/>
    </row>
    <row r="663" ht="14.25" customHeight="1">
      <c r="F663" s="9"/>
    </row>
    <row r="664" ht="14.25" customHeight="1">
      <c r="F664" s="9"/>
    </row>
    <row r="665" ht="14.25" customHeight="1">
      <c r="F665" s="9"/>
    </row>
    <row r="666" ht="14.25" customHeight="1">
      <c r="F666" s="9"/>
    </row>
    <row r="667" ht="14.25" customHeight="1">
      <c r="F667" s="9"/>
    </row>
    <row r="668" ht="14.25" customHeight="1">
      <c r="F668" s="9"/>
    </row>
    <row r="669" ht="14.25" customHeight="1">
      <c r="F669" s="9"/>
    </row>
    <row r="670" ht="14.25" customHeight="1">
      <c r="F670" s="9"/>
    </row>
    <row r="671" ht="14.25" customHeight="1">
      <c r="F671" s="9"/>
    </row>
    <row r="672" ht="14.25" customHeight="1">
      <c r="F672" s="9"/>
    </row>
    <row r="673" ht="14.25" customHeight="1">
      <c r="F673" s="9"/>
    </row>
    <row r="674" ht="14.25" customHeight="1">
      <c r="F674" s="9"/>
    </row>
    <row r="675" ht="14.25" customHeight="1">
      <c r="F675" s="9"/>
    </row>
    <row r="676" ht="14.25" customHeight="1">
      <c r="F676" s="9"/>
    </row>
    <row r="677" ht="14.25" customHeight="1">
      <c r="F677" s="9"/>
    </row>
    <row r="678" ht="14.25" customHeight="1">
      <c r="F678" s="9"/>
    </row>
    <row r="679" ht="14.25" customHeight="1">
      <c r="F679" s="9"/>
    </row>
    <row r="680" ht="14.25" customHeight="1">
      <c r="F680" s="9"/>
    </row>
    <row r="681" ht="14.25" customHeight="1">
      <c r="F681" s="9"/>
    </row>
    <row r="682" ht="14.25" customHeight="1">
      <c r="F682" s="9"/>
    </row>
    <row r="683" ht="14.25" customHeight="1">
      <c r="F683" s="9"/>
    </row>
    <row r="684" ht="14.25" customHeight="1">
      <c r="F684" s="9"/>
    </row>
    <row r="685" ht="14.25" customHeight="1">
      <c r="F685" s="9"/>
    </row>
    <row r="686" ht="14.25" customHeight="1">
      <c r="F686" s="9"/>
    </row>
    <row r="687" ht="14.25" customHeight="1">
      <c r="F687" s="9"/>
    </row>
    <row r="688" ht="14.25" customHeight="1">
      <c r="F688" s="9"/>
    </row>
    <row r="689" ht="14.25" customHeight="1">
      <c r="F689" s="9"/>
    </row>
    <row r="690" ht="14.25" customHeight="1">
      <c r="F690" s="9"/>
    </row>
    <row r="691" ht="14.25" customHeight="1">
      <c r="F691" s="9"/>
    </row>
    <row r="692" ht="14.25" customHeight="1">
      <c r="F692" s="9"/>
    </row>
    <row r="693" ht="14.25" customHeight="1">
      <c r="F693" s="9"/>
    </row>
    <row r="694" ht="14.25" customHeight="1">
      <c r="F694" s="9"/>
    </row>
    <row r="695" ht="14.25" customHeight="1">
      <c r="F695" s="9"/>
    </row>
    <row r="696" ht="14.25" customHeight="1">
      <c r="F696" s="9"/>
    </row>
    <row r="697" ht="14.25" customHeight="1">
      <c r="F697" s="9"/>
    </row>
    <row r="698" ht="14.25" customHeight="1">
      <c r="F698" s="9"/>
    </row>
    <row r="699" ht="14.25" customHeight="1">
      <c r="F699" s="9"/>
    </row>
    <row r="700" ht="14.25" customHeight="1">
      <c r="F700" s="9"/>
    </row>
    <row r="701" ht="14.25" customHeight="1">
      <c r="F701" s="9"/>
    </row>
    <row r="702" ht="14.25" customHeight="1">
      <c r="F702" s="9"/>
    </row>
    <row r="703" ht="14.25" customHeight="1">
      <c r="F703" s="9"/>
    </row>
    <row r="704" ht="14.25" customHeight="1">
      <c r="F704" s="9"/>
    </row>
    <row r="705" ht="14.25" customHeight="1">
      <c r="F705" s="9"/>
    </row>
    <row r="706" ht="14.25" customHeight="1">
      <c r="F706" s="9"/>
    </row>
    <row r="707" ht="14.25" customHeight="1">
      <c r="F707" s="9"/>
    </row>
    <row r="708" ht="14.25" customHeight="1">
      <c r="F708" s="9"/>
    </row>
    <row r="709" ht="14.25" customHeight="1">
      <c r="F709" s="9"/>
    </row>
    <row r="710" ht="14.25" customHeight="1">
      <c r="F710" s="9"/>
    </row>
    <row r="711" ht="14.25" customHeight="1">
      <c r="F711" s="9"/>
    </row>
    <row r="712" ht="14.25" customHeight="1">
      <c r="F712" s="9"/>
    </row>
    <row r="713" ht="14.25" customHeight="1">
      <c r="F713" s="9"/>
    </row>
    <row r="714" ht="14.25" customHeight="1">
      <c r="F714" s="9"/>
    </row>
    <row r="715" ht="14.25" customHeight="1">
      <c r="F715" s="9"/>
    </row>
    <row r="716" ht="14.25" customHeight="1">
      <c r="F716" s="9"/>
    </row>
    <row r="717" ht="14.25" customHeight="1">
      <c r="F717" s="9"/>
    </row>
    <row r="718" ht="14.25" customHeight="1">
      <c r="F718" s="9"/>
    </row>
    <row r="719" ht="14.25" customHeight="1">
      <c r="F719" s="9"/>
    </row>
    <row r="720" ht="14.25" customHeight="1">
      <c r="F720" s="9"/>
    </row>
    <row r="721" ht="14.25" customHeight="1">
      <c r="F721" s="9"/>
    </row>
    <row r="722" ht="14.25" customHeight="1">
      <c r="F722" s="9"/>
    </row>
    <row r="723" ht="14.25" customHeight="1">
      <c r="F723" s="9"/>
    </row>
    <row r="724" ht="14.25" customHeight="1">
      <c r="F724" s="9"/>
    </row>
    <row r="725" ht="14.25" customHeight="1">
      <c r="F725" s="9"/>
    </row>
    <row r="726" ht="14.25" customHeight="1">
      <c r="F726" s="9"/>
    </row>
    <row r="727" ht="14.25" customHeight="1">
      <c r="F727" s="9"/>
    </row>
    <row r="728" ht="14.25" customHeight="1">
      <c r="F728" s="9"/>
    </row>
    <row r="729" ht="14.25" customHeight="1">
      <c r="F729" s="9"/>
    </row>
    <row r="730" ht="14.25" customHeight="1">
      <c r="F730" s="9"/>
    </row>
    <row r="731" ht="14.25" customHeight="1">
      <c r="F731" s="9"/>
    </row>
    <row r="732" ht="14.25" customHeight="1">
      <c r="F732" s="9"/>
    </row>
    <row r="733" ht="14.25" customHeight="1">
      <c r="F733" s="9"/>
    </row>
    <row r="734" ht="14.25" customHeight="1">
      <c r="F734" s="9"/>
    </row>
    <row r="735" ht="14.25" customHeight="1">
      <c r="F735" s="9"/>
    </row>
    <row r="736" ht="14.25" customHeight="1">
      <c r="F736" s="9"/>
    </row>
    <row r="737" ht="14.25" customHeight="1">
      <c r="F737" s="9"/>
    </row>
    <row r="738" ht="14.25" customHeight="1">
      <c r="F738" s="9"/>
    </row>
    <row r="739" ht="14.25" customHeight="1">
      <c r="F739" s="9"/>
    </row>
    <row r="740" ht="14.25" customHeight="1">
      <c r="F740" s="9"/>
    </row>
    <row r="741" ht="14.25" customHeight="1">
      <c r="F741" s="9"/>
    </row>
    <row r="742" ht="14.25" customHeight="1">
      <c r="F742" s="9"/>
    </row>
    <row r="743" ht="14.25" customHeight="1">
      <c r="F743" s="9"/>
    </row>
    <row r="744" ht="14.25" customHeight="1">
      <c r="F744" s="9"/>
    </row>
    <row r="745" ht="14.25" customHeight="1">
      <c r="F745" s="9"/>
    </row>
    <row r="746" ht="14.25" customHeight="1">
      <c r="F746" s="9"/>
    </row>
    <row r="747" ht="14.25" customHeight="1">
      <c r="F747" s="9"/>
    </row>
    <row r="748" ht="14.25" customHeight="1">
      <c r="F748" s="9"/>
    </row>
    <row r="749" ht="14.25" customHeight="1">
      <c r="F749" s="9"/>
    </row>
    <row r="750" ht="14.25" customHeight="1">
      <c r="F750" s="9"/>
    </row>
    <row r="751" ht="14.25" customHeight="1">
      <c r="F751" s="9"/>
    </row>
    <row r="752" ht="14.25" customHeight="1">
      <c r="F752" s="9"/>
    </row>
    <row r="753" ht="14.25" customHeight="1">
      <c r="F753" s="9"/>
    </row>
    <row r="754" ht="14.25" customHeight="1">
      <c r="F754" s="9"/>
    </row>
    <row r="755" ht="14.25" customHeight="1">
      <c r="F755" s="9"/>
    </row>
    <row r="756" ht="14.25" customHeight="1">
      <c r="F756" s="9"/>
    </row>
    <row r="757" ht="14.25" customHeight="1">
      <c r="F757" s="9"/>
    </row>
    <row r="758" ht="14.25" customHeight="1">
      <c r="F758" s="9"/>
    </row>
    <row r="759" ht="14.25" customHeight="1">
      <c r="F759" s="9"/>
    </row>
    <row r="760" ht="14.25" customHeight="1">
      <c r="F760" s="9"/>
    </row>
    <row r="761" ht="14.25" customHeight="1">
      <c r="F761" s="9"/>
    </row>
    <row r="762" ht="14.25" customHeight="1">
      <c r="F762" s="9"/>
    </row>
    <row r="763" ht="14.25" customHeight="1">
      <c r="F763" s="9"/>
    </row>
    <row r="764" ht="14.25" customHeight="1">
      <c r="F764" s="9"/>
    </row>
    <row r="765" ht="14.25" customHeight="1">
      <c r="F765" s="9"/>
    </row>
    <row r="766" ht="14.25" customHeight="1">
      <c r="F766" s="9"/>
    </row>
    <row r="767" ht="14.25" customHeight="1">
      <c r="F767" s="9"/>
    </row>
    <row r="768" ht="14.25" customHeight="1">
      <c r="F768" s="9"/>
    </row>
    <row r="769" ht="14.25" customHeight="1">
      <c r="F769" s="9"/>
    </row>
    <row r="770" ht="14.25" customHeight="1">
      <c r="F770" s="9"/>
    </row>
    <row r="771" ht="14.25" customHeight="1">
      <c r="F771" s="9"/>
    </row>
    <row r="772" ht="14.25" customHeight="1">
      <c r="F772" s="9"/>
    </row>
    <row r="773" ht="14.25" customHeight="1">
      <c r="F773" s="9"/>
    </row>
    <row r="774" ht="14.25" customHeight="1">
      <c r="F774" s="9"/>
    </row>
    <row r="775" ht="14.25" customHeight="1">
      <c r="F775" s="9"/>
    </row>
    <row r="776" ht="14.25" customHeight="1">
      <c r="F776" s="9"/>
    </row>
    <row r="777" ht="14.25" customHeight="1">
      <c r="F777" s="9"/>
    </row>
    <row r="778" ht="14.25" customHeight="1">
      <c r="F778" s="9"/>
    </row>
    <row r="779" ht="14.25" customHeight="1">
      <c r="F779" s="9"/>
    </row>
    <row r="780" ht="14.25" customHeight="1">
      <c r="F780" s="9"/>
    </row>
    <row r="781" ht="14.25" customHeight="1">
      <c r="F781" s="9"/>
    </row>
    <row r="782" ht="14.25" customHeight="1">
      <c r="F782" s="9"/>
    </row>
    <row r="783" ht="14.25" customHeight="1">
      <c r="F783" s="9"/>
    </row>
    <row r="784" ht="14.25" customHeight="1">
      <c r="F784" s="9"/>
    </row>
    <row r="785" ht="14.25" customHeight="1">
      <c r="F785" s="9"/>
    </row>
    <row r="786" ht="14.25" customHeight="1">
      <c r="F786" s="9"/>
    </row>
    <row r="787" ht="14.25" customHeight="1">
      <c r="F787" s="9"/>
    </row>
    <row r="788" ht="14.25" customHeight="1">
      <c r="F788" s="9"/>
    </row>
    <row r="789" ht="14.25" customHeight="1">
      <c r="F789" s="9"/>
    </row>
    <row r="790" ht="14.25" customHeight="1">
      <c r="F790" s="9"/>
    </row>
    <row r="791" ht="14.25" customHeight="1">
      <c r="F791" s="9"/>
    </row>
    <row r="792" ht="14.25" customHeight="1">
      <c r="F792" s="9"/>
    </row>
    <row r="793" ht="14.25" customHeight="1">
      <c r="F793" s="9"/>
    </row>
    <row r="794" ht="14.25" customHeight="1">
      <c r="F794" s="9"/>
    </row>
    <row r="795" ht="14.25" customHeight="1">
      <c r="F795" s="9"/>
    </row>
    <row r="796" ht="14.25" customHeight="1">
      <c r="F796" s="9"/>
    </row>
    <row r="797" ht="14.25" customHeight="1">
      <c r="F797" s="9"/>
    </row>
    <row r="798" ht="14.25" customHeight="1">
      <c r="F798" s="9"/>
    </row>
    <row r="799" ht="14.25" customHeight="1">
      <c r="F799" s="9"/>
    </row>
    <row r="800" ht="14.25" customHeight="1">
      <c r="F800" s="9"/>
    </row>
    <row r="801" ht="14.25" customHeight="1">
      <c r="F801" s="9"/>
    </row>
    <row r="802" ht="14.25" customHeight="1">
      <c r="F802" s="9"/>
    </row>
    <row r="803" ht="14.25" customHeight="1">
      <c r="F803" s="9"/>
    </row>
    <row r="804" ht="14.25" customHeight="1">
      <c r="F804" s="9"/>
    </row>
    <row r="805" ht="14.25" customHeight="1">
      <c r="F805" s="9"/>
    </row>
    <row r="806" ht="14.25" customHeight="1">
      <c r="F806" s="9"/>
    </row>
    <row r="807" ht="14.25" customHeight="1">
      <c r="F807" s="9"/>
    </row>
    <row r="808" ht="14.25" customHeight="1">
      <c r="F808" s="9"/>
    </row>
    <row r="809" ht="14.25" customHeight="1">
      <c r="F809" s="9"/>
    </row>
    <row r="810" ht="14.25" customHeight="1">
      <c r="F810" s="9"/>
    </row>
    <row r="811" ht="14.25" customHeight="1">
      <c r="F811" s="9"/>
    </row>
    <row r="812" ht="14.25" customHeight="1">
      <c r="F812" s="9"/>
    </row>
    <row r="813" ht="14.25" customHeight="1">
      <c r="F813" s="9"/>
    </row>
    <row r="814" ht="14.25" customHeight="1">
      <c r="F814" s="9"/>
    </row>
    <row r="815" ht="14.25" customHeight="1">
      <c r="F815" s="9"/>
    </row>
    <row r="816" ht="14.25" customHeight="1">
      <c r="F816" s="9"/>
    </row>
    <row r="817" ht="14.25" customHeight="1">
      <c r="F817" s="9"/>
    </row>
    <row r="818" ht="14.25" customHeight="1">
      <c r="F818" s="9"/>
    </row>
    <row r="819" ht="14.25" customHeight="1">
      <c r="F819" s="9"/>
    </row>
    <row r="820" ht="14.25" customHeight="1">
      <c r="F820" s="9"/>
    </row>
    <row r="821" ht="14.25" customHeight="1">
      <c r="F821" s="9"/>
    </row>
    <row r="822" ht="14.25" customHeight="1">
      <c r="F822" s="9"/>
    </row>
    <row r="823" ht="14.25" customHeight="1">
      <c r="F823" s="9"/>
    </row>
    <row r="824" ht="14.25" customHeight="1">
      <c r="F824" s="9"/>
    </row>
    <row r="825" ht="14.25" customHeight="1">
      <c r="F825" s="9"/>
    </row>
    <row r="826" ht="14.25" customHeight="1">
      <c r="F826" s="9"/>
    </row>
    <row r="827" ht="14.25" customHeight="1">
      <c r="F827" s="9"/>
    </row>
    <row r="828" ht="14.25" customHeight="1">
      <c r="F828" s="9"/>
    </row>
    <row r="829" ht="14.25" customHeight="1">
      <c r="F829" s="9"/>
    </row>
    <row r="830" ht="14.25" customHeight="1">
      <c r="F830" s="9"/>
    </row>
    <row r="831" ht="14.25" customHeight="1">
      <c r="F831" s="9"/>
    </row>
    <row r="832" ht="14.25" customHeight="1">
      <c r="F832" s="9"/>
    </row>
    <row r="833" ht="14.25" customHeight="1">
      <c r="F833" s="9"/>
    </row>
    <row r="834" ht="14.25" customHeight="1">
      <c r="F834" s="9"/>
    </row>
    <row r="835" ht="14.25" customHeight="1">
      <c r="F835" s="9"/>
    </row>
    <row r="836" ht="14.25" customHeight="1">
      <c r="F836" s="9"/>
    </row>
    <row r="837" ht="14.25" customHeight="1">
      <c r="F837" s="9"/>
    </row>
    <row r="838" ht="14.25" customHeight="1">
      <c r="F838" s="9"/>
    </row>
    <row r="839" ht="14.25" customHeight="1">
      <c r="F839" s="9"/>
    </row>
    <row r="840" ht="14.25" customHeight="1">
      <c r="F840" s="9"/>
    </row>
    <row r="841" ht="14.25" customHeight="1">
      <c r="F841" s="9"/>
    </row>
    <row r="842" ht="14.25" customHeight="1">
      <c r="F842" s="9"/>
    </row>
    <row r="843" ht="14.25" customHeight="1">
      <c r="F843" s="9"/>
    </row>
    <row r="844" ht="14.25" customHeight="1">
      <c r="F844" s="9"/>
    </row>
    <row r="845" ht="14.25" customHeight="1">
      <c r="F845" s="9"/>
    </row>
    <row r="846" ht="14.25" customHeight="1">
      <c r="F846" s="9"/>
    </row>
    <row r="847" ht="14.25" customHeight="1">
      <c r="F847" s="9"/>
    </row>
    <row r="848" ht="14.25" customHeight="1">
      <c r="F848" s="9"/>
    </row>
    <row r="849" ht="14.25" customHeight="1">
      <c r="F849" s="9"/>
    </row>
    <row r="850" ht="14.25" customHeight="1">
      <c r="F850" s="9"/>
    </row>
    <row r="851" ht="14.25" customHeight="1">
      <c r="F851" s="9"/>
    </row>
    <row r="852" ht="14.25" customHeight="1">
      <c r="F852" s="9"/>
    </row>
    <row r="853" ht="14.25" customHeight="1">
      <c r="F853" s="9"/>
    </row>
    <row r="854" ht="14.25" customHeight="1">
      <c r="F854" s="9"/>
    </row>
    <row r="855" ht="14.25" customHeight="1">
      <c r="F855" s="9"/>
    </row>
    <row r="856" ht="14.25" customHeight="1">
      <c r="F856" s="9"/>
    </row>
    <row r="857" ht="14.25" customHeight="1">
      <c r="F857" s="9"/>
    </row>
    <row r="858" ht="14.25" customHeight="1">
      <c r="F858" s="9"/>
    </row>
    <row r="859" ht="14.25" customHeight="1">
      <c r="F859" s="9"/>
    </row>
    <row r="860" ht="14.25" customHeight="1">
      <c r="F860" s="9"/>
    </row>
    <row r="861" ht="14.25" customHeight="1">
      <c r="F861" s="9"/>
    </row>
    <row r="862" ht="14.25" customHeight="1">
      <c r="F862" s="9"/>
    </row>
    <row r="863" ht="14.25" customHeight="1">
      <c r="F863" s="9"/>
    </row>
    <row r="864" ht="14.25" customHeight="1">
      <c r="F864" s="9"/>
    </row>
    <row r="865" ht="14.25" customHeight="1">
      <c r="F865" s="9"/>
    </row>
    <row r="866" ht="14.25" customHeight="1">
      <c r="F866" s="9"/>
    </row>
    <row r="867" ht="14.25" customHeight="1">
      <c r="F867" s="9"/>
    </row>
    <row r="868" ht="14.25" customHeight="1">
      <c r="F868" s="9"/>
    </row>
    <row r="869" ht="14.25" customHeight="1">
      <c r="F869" s="9"/>
    </row>
    <row r="870" ht="14.25" customHeight="1">
      <c r="F870" s="9"/>
    </row>
    <row r="871" ht="14.25" customHeight="1">
      <c r="F871" s="9"/>
    </row>
    <row r="872" ht="14.25" customHeight="1">
      <c r="F872" s="9"/>
    </row>
    <row r="873" ht="14.25" customHeight="1">
      <c r="F873" s="9"/>
    </row>
    <row r="874" ht="14.25" customHeight="1">
      <c r="F874" s="9"/>
    </row>
    <row r="875" ht="14.25" customHeight="1">
      <c r="F875" s="9"/>
    </row>
    <row r="876" ht="14.25" customHeight="1">
      <c r="F876" s="9"/>
    </row>
    <row r="877" ht="14.25" customHeight="1">
      <c r="F877" s="9"/>
    </row>
    <row r="878" ht="14.25" customHeight="1">
      <c r="F878" s="9"/>
    </row>
    <row r="879" ht="14.25" customHeight="1">
      <c r="F879" s="9"/>
    </row>
    <row r="880" ht="14.25" customHeight="1">
      <c r="F880" s="9"/>
    </row>
    <row r="881" ht="14.25" customHeight="1">
      <c r="F881" s="9"/>
    </row>
    <row r="882" ht="14.25" customHeight="1">
      <c r="F882" s="9"/>
    </row>
    <row r="883" ht="14.25" customHeight="1">
      <c r="F883" s="9"/>
    </row>
    <row r="884" ht="14.25" customHeight="1">
      <c r="F884" s="9"/>
    </row>
    <row r="885" ht="14.25" customHeight="1">
      <c r="F885" s="9"/>
    </row>
    <row r="886" ht="14.25" customHeight="1">
      <c r="F886" s="9"/>
    </row>
    <row r="887" ht="14.25" customHeight="1">
      <c r="F887" s="9"/>
    </row>
    <row r="888" ht="14.25" customHeight="1">
      <c r="F888" s="9"/>
    </row>
    <row r="889" ht="14.25" customHeight="1">
      <c r="F889" s="9"/>
    </row>
    <row r="890" ht="14.25" customHeight="1">
      <c r="F890" s="9"/>
    </row>
    <row r="891" ht="14.25" customHeight="1">
      <c r="F891" s="9"/>
    </row>
    <row r="892" ht="14.25" customHeight="1">
      <c r="F892" s="9"/>
    </row>
    <row r="893" ht="14.25" customHeight="1">
      <c r="F893" s="9"/>
    </row>
    <row r="894" ht="14.25" customHeight="1">
      <c r="F894" s="9"/>
    </row>
    <row r="895" ht="14.25" customHeight="1">
      <c r="F895" s="9"/>
    </row>
    <row r="896" ht="14.25" customHeight="1">
      <c r="F896" s="9"/>
    </row>
    <row r="897" ht="14.25" customHeight="1">
      <c r="F897" s="9"/>
    </row>
    <row r="898" ht="14.25" customHeight="1">
      <c r="F898" s="9"/>
    </row>
    <row r="899" ht="14.25" customHeight="1">
      <c r="F899" s="9"/>
    </row>
    <row r="900" ht="14.25" customHeight="1">
      <c r="F900" s="9"/>
    </row>
    <row r="901" ht="14.25" customHeight="1">
      <c r="F901" s="9"/>
    </row>
    <row r="902" ht="14.25" customHeight="1">
      <c r="F902" s="9"/>
    </row>
    <row r="903" ht="14.25" customHeight="1">
      <c r="F903" s="9"/>
    </row>
    <row r="904" ht="14.25" customHeight="1">
      <c r="F904" s="9"/>
    </row>
    <row r="905" ht="14.25" customHeight="1">
      <c r="F905" s="9"/>
    </row>
    <row r="906" ht="14.25" customHeight="1">
      <c r="F906" s="9"/>
    </row>
    <row r="907" ht="14.25" customHeight="1">
      <c r="F907" s="9"/>
    </row>
    <row r="908" ht="14.25" customHeight="1">
      <c r="F908" s="9"/>
    </row>
    <row r="909" ht="14.25" customHeight="1">
      <c r="F909" s="9"/>
    </row>
    <row r="910" ht="14.25" customHeight="1">
      <c r="F910" s="9"/>
    </row>
    <row r="911" ht="14.25" customHeight="1">
      <c r="F911" s="9"/>
    </row>
    <row r="912" ht="14.25" customHeight="1">
      <c r="F912" s="9"/>
    </row>
    <row r="913" ht="14.25" customHeight="1">
      <c r="F913" s="9"/>
    </row>
    <row r="914" ht="14.25" customHeight="1">
      <c r="F914" s="9"/>
    </row>
    <row r="915" ht="14.25" customHeight="1">
      <c r="F915" s="9"/>
    </row>
    <row r="916" ht="14.25" customHeight="1">
      <c r="F916" s="9"/>
    </row>
    <row r="917" ht="14.25" customHeight="1">
      <c r="F917" s="9"/>
    </row>
    <row r="918" ht="14.25" customHeight="1">
      <c r="F918" s="9"/>
    </row>
    <row r="919" ht="14.25" customHeight="1">
      <c r="F919" s="9"/>
    </row>
    <row r="920" ht="14.25" customHeight="1">
      <c r="F920" s="9"/>
    </row>
    <row r="921" ht="14.25" customHeight="1">
      <c r="F921" s="9"/>
    </row>
    <row r="922" ht="14.25" customHeight="1">
      <c r="F922" s="9"/>
    </row>
    <row r="923" ht="14.25" customHeight="1">
      <c r="F923" s="9"/>
    </row>
    <row r="924" ht="14.25" customHeight="1">
      <c r="F924" s="9"/>
    </row>
    <row r="925" ht="14.25" customHeight="1">
      <c r="F925" s="9"/>
    </row>
    <row r="926" ht="14.25" customHeight="1">
      <c r="F926" s="9"/>
    </row>
    <row r="927" ht="14.25" customHeight="1">
      <c r="F927" s="9"/>
    </row>
    <row r="928" ht="14.25" customHeight="1">
      <c r="F928" s="9"/>
    </row>
    <row r="929" ht="14.25" customHeight="1">
      <c r="F929" s="9"/>
    </row>
    <row r="930" ht="14.25" customHeight="1">
      <c r="F930" s="9"/>
    </row>
    <row r="931" ht="14.25" customHeight="1">
      <c r="F931" s="9"/>
    </row>
    <row r="932" ht="14.25" customHeight="1">
      <c r="F932" s="9"/>
    </row>
    <row r="933" ht="14.25" customHeight="1">
      <c r="F933" s="9"/>
    </row>
    <row r="934" ht="14.25" customHeight="1">
      <c r="F934" s="9"/>
    </row>
    <row r="935" ht="14.25" customHeight="1">
      <c r="F935" s="9"/>
    </row>
    <row r="936" ht="14.25" customHeight="1">
      <c r="F936" s="9"/>
    </row>
    <row r="937" ht="14.25" customHeight="1">
      <c r="F937" s="9"/>
    </row>
    <row r="938" ht="14.25" customHeight="1">
      <c r="F938" s="9"/>
    </row>
    <row r="939" ht="14.25" customHeight="1">
      <c r="F939" s="9"/>
    </row>
    <row r="940" ht="14.25" customHeight="1">
      <c r="F940" s="9"/>
    </row>
    <row r="941" ht="14.25" customHeight="1">
      <c r="F941" s="9"/>
    </row>
    <row r="942" ht="14.25" customHeight="1">
      <c r="F942" s="9"/>
    </row>
    <row r="943" ht="14.25" customHeight="1">
      <c r="F943" s="9"/>
    </row>
    <row r="944" ht="14.25" customHeight="1">
      <c r="F944" s="9"/>
    </row>
    <row r="945" ht="14.25" customHeight="1">
      <c r="F945" s="9"/>
    </row>
    <row r="946" ht="14.25" customHeight="1">
      <c r="F946" s="9"/>
    </row>
    <row r="947" ht="14.25" customHeight="1">
      <c r="F947" s="9"/>
    </row>
    <row r="948" ht="14.25" customHeight="1">
      <c r="F948" s="9"/>
    </row>
    <row r="949" ht="14.25" customHeight="1">
      <c r="F949" s="9"/>
    </row>
    <row r="950" ht="14.25" customHeight="1">
      <c r="F950" s="9"/>
    </row>
    <row r="951" ht="14.25" customHeight="1">
      <c r="F951" s="9"/>
    </row>
    <row r="952" ht="14.25" customHeight="1">
      <c r="F952" s="9"/>
    </row>
    <row r="953" ht="14.25" customHeight="1">
      <c r="F953" s="9"/>
    </row>
    <row r="954" ht="14.25" customHeight="1">
      <c r="F954" s="9"/>
    </row>
    <row r="955" ht="14.25" customHeight="1">
      <c r="F955" s="9"/>
    </row>
    <row r="956" ht="14.25" customHeight="1">
      <c r="F956" s="9"/>
    </row>
    <row r="957" ht="14.25" customHeight="1">
      <c r="F957" s="9"/>
    </row>
    <row r="958" ht="14.25" customHeight="1">
      <c r="F958" s="9"/>
    </row>
    <row r="959" ht="14.25" customHeight="1">
      <c r="F959" s="9"/>
    </row>
    <row r="960" ht="14.25" customHeight="1">
      <c r="F960" s="9"/>
    </row>
    <row r="961" ht="14.25" customHeight="1">
      <c r="F961" s="9"/>
    </row>
    <row r="962" ht="14.25" customHeight="1">
      <c r="F962" s="9"/>
    </row>
    <row r="963" ht="14.25" customHeight="1">
      <c r="F963" s="9"/>
    </row>
    <row r="964" ht="14.25" customHeight="1">
      <c r="F964" s="9"/>
    </row>
    <row r="965" ht="14.25" customHeight="1">
      <c r="F965" s="9"/>
    </row>
    <row r="966" ht="14.25" customHeight="1">
      <c r="F966" s="9"/>
    </row>
    <row r="967" ht="14.25" customHeight="1">
      <c r="F967" s="9"/>
    </row>
    <row r="968" ht="14.25" customHeight="1">
      <c r="F968" s="9"/>
    </row>
    <row r="969" ht="14.25" customHeight="1">
      <c r="F969" s="9"/>
    </row>
    <row r="970" ht="14.25" customHeight="1">
      <c r="F970" s="9"/>
    </row>
    <row r="971" ht="14.25" customHeight="1">
      <c r="F971" s="9"/>
    </row>
    <row r="972" ht="14.25" customHeight="1">
      <c r="F972" s="9"/>
    </row>
    <row r="973" ht="14.25" customHeight="1">
      <c r="F973" s="9"/>
    </row>
    <row r="974" ht="14.25" customHeight="1">
      <c r="F974" s="9"/>
    </row>
    <row r="975" ht="14.25" customHeight="1">
      <c r="F975" s="9"/>
    </row>
    <row r="976" ht="14.25" customHeight="1">
      <c r="F976" s="9"/>
    </row>
    <row r="977" ht="14.25" customHeight="1">
      <c r="F977" s="9"/>
    </row>
    <row r="978" ht="14.25" customHeight="1">
      <c r="F978" s="9"/>
    </row>
    <row r="979" ht="14.25" customHeight="1">
      <c r="F979" s="9"/>
    </row>
    <row r="980" ht="14.25" customHeight="1">
      <c r="F980" s="9"/>
    </row>
    <row r="981" ht="14.25" customHeight="1">
      <c r="F981" s="9"/>
    </row>
    <row r="982" ht="14.25" customHeight="1">
      <c r="F982" s="9"/>
    </row>
    <row r="983" ht="14.25" customHeight="1">
      <c r="F983" s="9"/>
    </row>
    <row r="984" ht="14.25" customHeight="1">
      <c r="F984" s="9"/>
    </row>
    <row r="985" ht="14.25" customHeight="1">
      <c r="F985" s="9"/>
    </row>
    <row r="986" ht="14.25" customHeight="1">
      <c r="F986" s="9"/>
    </row>
    <row r="987" ht="14.25" customHeight="1">
      <c r="F987" s="9"/>
    </row>
    <row r="988" ht="14.25" customHeight="1">
      <c r="F988" s="9"/>
    </row>
    <row r="989" ht="14.25" customHeight="1">
      <c r="F989" s="9"/>
    </row>
    <row r="990" ht="14.25" customHeight="1">
      <c r="F990" s="9"/>
    </row>
    <row r="991" ht="14.25" customHeight="1">
      <c r="F991" s="9"/>
    </row>
    <row r="992" ht="14.25" customHeight="1">
      <c r="F992" s="9"/>
    </row>
    <row r="993" ht="14.25" customHeight="1">
      <c r="F993" s="9"/>
    </row>
    <row r="994" ht="14.25" customHeight="1">
      <c r="F994" s="9"/>
    </row>
    <row r="995" ht="14.25" customHeight="1">
      <c r="F995" s="9"/>
    </row>
    <row r="996" ht="14.25" customHeight="1">
      <c r="F996" s="9"/>
    </row>
    <row r="997" ht="14.25" customHeight="1">
      <c r="F997" s="9"/>
    </row>
    <row r="998" ht="14.25" customHeight="1">
      <c r="F998" s="9"/>
    </row>
    <row r="999" ht="14.25" customHeight="1">
      <c r="F999" s="9"/>
    </row>
    <row r="1000" ht="14.25" customHeight="1">
      <c r="F1000" s="9"/>
    </row>
  </sheetData>
  <dataValidations>
    <dataValidation type="list" allowBlank="1" sqref="F2:F432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9.14"/>
    <col customWidth="1" min="3" max="26" width="8.71"/>
  </cols>
  <sheetData>
    <row r="1" ht="14.25" customHeight="1">
      <c r="A1" s="2" t="s">
        <v>1</v>
      </c>
      <c r="B1" s="2" t="s">
        <v>5</v>
      </c>
    </row>
    <row r="2" ht="14.25" customHeight="1">
      <c r="A2" s="4" t="s">
        <v>7</v>
      </c>
      <c r="B2" s="4">
        <f>COUNTA('Visit Tracker'!D2:D1048576)</f>
        <v>431</v>
      </c>
    </row>
    <row r="3" ht="14.25" customHeight="1">
      <c r="A3" s="4" t="s">
        <v>4</v>
      </c>
      <c r="B3" s="4">
        <f>COUNTIF('Visit Tracker'!F:F,"Yes")</f>
        <v>37</v>
      </c>
    </row>
    <row r="4" ht="14.25" customHeight="1">
      <c r="A4" s="4" t="s">
        <v>6</v>
      </c>
      <c r="B4" s="4">
        <f>COUNTIF('Visit Tracker'!F:F,"No")</f>
        <v>394</v>
      </c>
    </row>
    <row r="5" ht="14.25" customHeight="1">
      <c r="A5" s="4" t="s">
        <v>15</v>
      </c>
      <c r="B5" s="8">
        <f>IF(B2=0,0,B3/B2)</f>
        <v>0.08584686775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9.71"/>
    <col customWidth="1" min="3" max="26" width="8.71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6</v>
      </c>
    </row>
    <row r="2" ht="14.25" customHeight="1">
      <c r="A2" s="1" t="s">
        <v>8</v>
      </c>
      <c r="B2" s="1">
        <f>COUNTIF('Visit Tracker'!C:C,A2)</f>
        <v>9</v>
      </c>
      <c r="C2" s="1">
        <f>COUNTIFS('Visit Tracker'!C:C,A2,'Visit Tracker'!F:F,"Yes")</f>
        <v>0</v>
      </c>
      <c r="D2" s="1">
        <f t="shared" ref="D2:D40" si="1">B2-C2</f>
        <v>9</v>
      </c>
    </row>
    <row r="3" ht="14.25" customHeight="1">
      <c r="A3" s="1" t="s">
        <v>12</v>
      </c>
      <c r="B3" s="1">
        <f>COUNTIF('Visit Tracker'!C:C,A3)</f>
        <v>10</v>
      </c>
      <c r="C3" s="1">
        <f>COUNTIFS('Visit Tracker'!C:C,A3,'Visit Tracker'!F:F,"Yes")</f>
        <v>0</v>
      </c>
      <c r="D3" s="1">
        <f t="shared" si="1"/>
        <v>10</v>
      </c>
    </row>
    <row r="4" ht="14.25" customHeight="1">
      <c r="A4" s="1" t="s">
        <v>24</v>
      </c>
      <c r="B4" s="1">
        <f>COUNTIF('Visit Tracker'!C:C,A4)</f>
        <v>8</v>
      </c>
      <c r="C4" s="1">
        <f>COUNTIFS('Visit Tracker'!C:C,A4,'Visit Tracker'!F:F,"Yes")</f>
        <v>0</v>
      </c>
      <c r="D4" s="1">
        <f t="shared" si="1"/>
        <v>8</v>
      </c>
    </row>
    <row r="5" ht="14.25" customHeight="1">
      <c r="A5" s="1" t="s">
        <v>29</v>
      </c>
      <c r="B5" s="1">
        <f>COUNTIF('Visit Tracker'!C:C,A5)</f>
        <v>11</v>
      </c>
      <c r="C5" s="1">
        <f>COUNTIFS('Visit Tracker'!C:C,A5,'Visit Tracker'!F:F,"Yes")</f>
        <v>7</v>
      </c>
      <c r="D5" s="1">
        <f t="shared" si="1"/>
        <v>4</v>
      </c>
    </row>
    <row r="6" ht="14.25" customHeight="1">
      <c r="A6" s="1" t="s">
        <v>33</v>
      </c>
      <c r="B6" s="1">
        <f>COUNTIF('Visit Tracker'!C:C,A6)</f>
        <v>15</v>
      </c>
      <c r="C6" s="1">
        <f>COUNTIFS('Visit Tracker'!C:C,A6,'Visit Tracker'!F:F,"Yes")</f>
        <v>0</v>
      </c>
      <c r="D6" s="1">
        <f t="shared" si="1"/>
        <v>15</v>
      </c>
    </row>
    <row r="7" ht="14.25" customHeight="1">
      <c r="A7" s="1" t="s">
        <v>37</v>
      </c>
      <c r="B7" s="1">
        <f>COUNTIF('Visit Tracker'!C:C,A7)</f>
        <v>9</v>
      </c>
      <c r="C7" s="1">
        <f>COUNTIFS('Visit Tracker'!C:C,A7,'Visit Tracker'!F:F,"Yes")</f>
        <v>0</v>
      </c>
      <c r="D7" s="1">
        <f t="shared" si="1"/>
        <v>9</v>
      </c>
    </row>
    <row r="8" ht="14.25" customHeight="1">
      <c r="A8" s="1" t="s">
        <v>43</v>
      </c>
      <c r="B8" s="1">
        <f>COUNTIF('Visit Tracker'!C:C,A8)</f>
        <v>8</v>
      </c>
      <c r="C8" s="1">
        <f>COUNTIFS('Visit Tracker'!C:C,A8,'Visit Tracker'!F:F,"Yes")</f>
        <v>0</v>
      </c>
      <c r="D8" s="1">
        <f t="shared" si="1"/>
        <v>8</v>
      </c>
    </row>
    <row r="9" ht="14.25" customHeight="1">
      <c r="A9" s="1" t="s">
        <v>48</v>
      </c>
      <c r="B9" s="1">
        <f>COUNTIF('Visit Tracker'!C:C,A9)</f>
        <v>11</v>
      </c>
      <c r="C9" s="1">
        <f>COUNTIFS('Visit Tracker'!C:C,A9,'Visit Tracker'!F:F,"Yes")</f>
        <v>0</v>
      </c>
      <c r="D9" s="1">
        <f t="shared" si="1"/>
        <v>11</v>
      </c>
    </row>
    <row r="10" ht="14.25" customHeight="1">
      <c r="A10" s="1" t="s">
        <v>52</v>
      </c>
      <c r="B10" s="1">
        <f>COUNTIF('Visit Tracker'!C:C,A10)</f>
        <v>13</v>
      </c>
      <c r="C10" s="1">
        <f>COUNTIFS('Visit Tracker'!C:C,A10,'Visit Tracker'!F:F,"Yes")</f>
        <v>0</v>
      </c>
      <c r="D10" s="1">
        <f t="shared" si="1"/>
        <v>13</v>
      </c>
    </row>
    <row r="11" ht="14.25" customHeight="1">
      <c r="A11" s="1" t="s">
        <v>56</v>
      </c>
      <c r="B11" s="1">
        <f>COUNTIF('Visit Tracker'!C:C,A11)</f>
        <v>11</v>
      </c>
      <c r="C11" s="1">
        <f>COUNTIFS('Visit Tracker'!C:C,A11,'Visit Tracker'!F:F,"Yes")</f>
        <v>0</v>
      </c>
      <c r="D11" s="1">
        <f t="shared" si="1"/>
        <v>11</v>
      </c>
    </row>
    <row r="12" ht="14.25" customHeight="1">
      <c r="A12" s="1" t="s">
        <v>59</v>
      </c>
      <c r="B12" s="1">
        <f>COUNTIF('Visit Tracker'!C:C,A12)</f>
        <v>12</v>
      </c>
      <c r="C12" s="1">
        <f>COUNTIFS('Visit Tracker'!C:C,A12,'Visit Tracker'!F:F,"Yes")</f>
        <v>0</v>
      </c>
      <c r="D12" s="1">
        <f t="shared" si="1"/>
        <v>12</v>
      </c>
    </row>
    <row r="13" ht="14.25" customHeight="1">
      <c r="A13" s="1" t="s">
        <v>63</v>
      </c>
      <c r="B13" s="1">
        <f>COUNTIF('Visit Tracker'!C:C,A13)</f>
        <v>14</v>
      </c>
      <c r="C13" s="1">
        <f>COUNTIFS('Visit Tracker'!C:C,A13,'Visit Tracker'!F:F,"Yes")</f>
        <v>10</v>
      </c>
      <c r="D13" s="1">
        <f t="shared" si="1"/>
        <v>4</v>
      </c>
    </row>
    <row r="14" ht="14.25" customHeight="1">
      <c r="A14" s="1" t="s">
        <v>67</v>
      </c>
      <c r="B14" s="1">
        <f>COUNTIF('Visit Tracker'!C:C,A14)</f>
        <v>10</v>
      </c>
      <c r="C14" s="1">
        <f>COUNTIFS('Visit Tracker'!C:C,A14,'Visit Tracker'!F:F,"Yes")</f>
        <v>0</v>
      </c>
      <c r="D14" s="1">
        <f t="shared" si="1"/>
        <v>10</v>
      </c>
    </row>
    <row r="15" ht="14.25" customHeight="1">
      <c r="A15" s="1" t="s">
        <v>72</v>
      </c>
      <c r="B15" s="1">
        <f>COUNTIF('Visit Tracker'!C:C,A15)</f>
        <v>11</v>
      </c>
      <c r="C15" s="1">
        <f>COUNTIFS('Visit Tracker'!C:C,A15,'Visit Tracker'!F:F,"Yes")</f>
        <v>0</v>
      </c>
      <c r="D15" s="1">
        <f t="shared" si="1"/>
        <v>11</v>
      </c>
    </row>
    <row r="16" ht="14.25" customHeight="1">
      <c r="A16" s="1" t="s">
        <v>75</v>
      </c>
      <c r="B16" s="1">
        <f>COUNTIF('Visit Tracker'!C:C,A16)</f>
        <v>10</v>
      </c>
      <c r="C16" s="1">
        <f>COUNTIFS('Visit Tracker'!C:C,A16,'Visit Tracker'!F:F,"Yes")</f>
        <v>1</v>
      </c>
      <c r="D16" s="1">
        <f t="shared" si="1"/>
        <v>9</v>
      </c>
    </row>
    <row r="17" ht="14.25" customHeight="1">
      <c r="A17" s="1" t="s">
        <v>78</v>
      </c>
      <c r="B17" s="1">
        <f>COUNTIF('Visit Tracker'!C:C,A17)</f>
        <v>10</v>
      </c>
      <c r="C17" s="1">
        <f>COUNTIFS('Visit Tracker'!C:C,A17,'Visit Tracker'!F:F,"Yes")</f>
        <v>5</v>
      </c>
      <c r="D17" s="1">
        <f t="shared" si="1"/>
        <v>5</v>
      </c>
    </row>
    <row r="18" ht="14.25" customHeight="1">
      <c r="A18" s="1" t="s">
        <v>81</v>
      </c>
      <c r="B18" s="1">
        <f>COUNTIF('Visit Tracker'!C:C,A18)</f>
        <v>10</v>
      </c>
      <c r="C18" s="1">
        <f>COUNTIFS('Visit Tracker'!C:C,A18,'Visit Tracker'!F:F,"Yes")</f>
        <v>0</v>
      </c>
      <c r="D18" s="1">
        <f t="shared" si="1"/>
        <v>10</v>
      </c>
    </row>
    <row r="19" ht="14.25" customHeight="1">
      <c r="A19" s="1" t="s">
        <v>86</v>
      </c>
      <c r="B19" s="1">
        <f>COUNTIF('Visit Tracker'!C:C,A19)</f>
        <v>11</v>
      </c>
      <c r="C19" s="1">
        <f>COUNTIFS('Visit Tracker'!C:C,A19,'Visit Tracker'!F:F,"Yes")</f>
        <v>0</v>
      </c>
      <c r="D19" s="1">
        <f t="shared" si="1"/>
        <v>11</v>
      </c>
    </row>
    <row r="20" ht="14.25" customHeight="1">
      <c r="A20" s="1" t="s">
        <v>89</v>
      </c>
      <c r="B20" s="1">
        <f>COUNTIF('Visit Tracker'!C:C,A20)</f>
        <v>13</v>
      </c>
      <c r="C20" s="1">
        <f>COUNTIFS('Visit Tracker'!C:C,A20,'Visit Tracker'!F:F,"Yes")</f>
        <v>4</v>
      </c>
      <c r="D20" s="1">
        <f t="shared" si="1"/>
        <v>9</v>
      </c>
    </row>
    <row r="21" ht="14.25" customHeight="1">
      <c r="A21" s="1" t="s">
        <v>92</v>
      </c>
      <c r="B21" s="1">
        <f>COUNTIF('Visit Tracker'!C:C,A21)</f>
        <v>13</v>
      </c>
      <c r="C21" s="1">
        <f>COUNTIFS('Visit Tracker'!C:C,A21,'Visit Tracker'!F:F,"Yes")</f>
        <v>0</v>
      </c>
      <c r="D21" s="1">
        <f t="shared" si="1"/>
        <v>13</v>
      </c>
    </row>
    <row r="22" ht="14.25" customHeight="1">
      <c r="A22" s="1" t="s">
        <v>95</v>
      </c>
      <c r="B22" s="1">
        <f>COUNTIF('Visit Tracker'!C:C,A22)</f>
        <v>13</v>
      </c>
      <c r="C22" s="1">
        <f>COUNTIFS('Visit Tracker'!C:C,A22,'Visit Tracker'!F:F,"Yes")</f>
        <v>0</v>
      </c>
      <c r="D22" s="1">
        <f t="shared" si="1"/>
        <v>13</v>
      </c>
    </row>
    <row r="23" ht="14.25" customHeight="1">
      <c r="A23" s="1" t="s">
        <v>97</v>
      </c>
      <c r="B23" s="1">
        <f>COUNTIF('Visit Tracker'!C:C,A23)</f>
        <v>11</v>
      </c>
      <c r="C23" s="1">
        <f>COUNTIFS('Visit Tracker'!C:C,A23,'Visit Tracker'!F:F,"Yes")</f>
        <v>2</v>
      </c>
      <c r="D23" s="1">
        <f t="shared" si="1"/>
        <v>9</v>
      </c>
    </row>
    <row r="24" ht="14.25" customHeight="1">
      <c r="A24" s="1" t="s">
        <v>100</v>
      </c>
      <c r="B24" s="1">
        <f>COUNTIF('Visit Tracker'!C:C,A24)</f>
        <v>12</v>
      </c>
      <c r="C24" s="1">
        <f>COUNTIFS('Visit Tracker'!C:C,A24,'Visit Tracker'!F:F,"Yes")</f>
        <v>0</v>
      </c>
      <c r="D24" s="1">
        <f t="shared" si="1"/>
        <v>12</v>
      </c>
    </row>
    <row r="25" ht="14.25" customHeight="1">
      <c r="A25" s="1" t="s">
        <v>103</v>
      </c>
      <c r="B25" s="1">
        <f>COUNTIF('Visit Tracker'!C:C,A25)</f>
        <v>10</v>
      </c>
      <c r="C25" s="1">
        <f>COUNTIFS('Visit Tracker'!C:C,A25,'Visit Tracker'!F:F,"Yes")</f>
        <v>0</v>
      </c>
      <c r="D25" s="1">
        <f t="shared" si="1"/>
        <v>10</v>
      </c>
    </row>
    <row r="26" ht="14.25" customHeight="1">
      <c r="A26" s="1" t="s">
        <v>106</v>
      </c>
      <c r="B26" s="1">
        <f>COUNTIF('Visit Tracker'!C:C,A26)</f>
        <v>12</v>
      </c>
      <c r="C26" s="1">
        <f>COUNTIFS('Visit Tracker'!C:C,A26,'Visit Tracker'!F:F,"Yes")</f>
        <v>3</v>
      </c>
      <c r="D26" s="1">
        <f t="shared" si="1"/>
        <v>9</v>
      </c>
    </row>
    <row r="27" ht="14.25" customHeight="1">
      <c r="A27" s="1" t="s">
        <v>109</v>
      </c>
      <c r="B27" s="1">
        <f>COUNTIF('Visit Tracker'!C:C,A27)</f>
        <v>11</v>
      </c>
      <c r="C27" s="1">
        <f>COUNTIFS('Visit Tracker'!C:C,A27,'Visit Tracker'!F:F,"Yes")</f>
        <v>0</v>
      </c>
      <c r="D27" s="1">
        <f t="shared" si="1"/>
        <v>11</v>
      </c>
    </row>
    <row r="28" ht="14.25" customHeight="1">
      <c r="A28" s="1" t="s">
        <v>111</v>
      </c>
      <c r="B28" s="1">
        <f>COUNTIF('Visit Tracker'!C:C,A28)</f>
        <v>10</v>
      </c>
      <c r="C28" s="1">
        <f>COUNTIFS('Visit Tracker'!C:C,A28,'Visit Tracker'!F:F,"Yes")</f>
        <v>0</v>
      </c>
      <c r="D28" s="1">
        <f t="shared" si="1"/>
        <v>10</v>
      </c>
    </row>
    <row r="29" ht="14.25" customHeight="1">
      <c r="A29" s="1" t="s">
        <v>20</v>
      </c>
      <c r="B29" s="1">
        <f>COUNTIF('Visit Tracker'!C:C,A29)</f>
        <v>7</v>
      </c>
      <c r="C29" s="1">
        <f>COUNTIFS('Visit Tracker'!C:C,A29,'Visit Tracker'!F:F,"Yes")</f>
        <v>0</v>
      </c>
      <c r="D29" s="1">
        <f t="shared" si="1"/>
        <v>7</v>
      </c>
    </row>
    <row r="30" ht="14.25" customHeight="1">
      <c r="A30" s="1" t="s">
        <v>44</v>
      </c>
      <c r="B30" s="1">
        <f>COUNTIF('Visit Tracker'!C:C,A30)</f>
        <v>13</v>
      </c>
      <c r="C30" s="1">
        <f>COUNTIFS('Visit Tracker'!C:C,A30,'Visit Tracker'!F:F,"Yes")</f>
        <v>0</v>
      </c>
      <c r="D30" s="1">
        <f t="shared" si="1"/>
        <v>13</v>
      </c>
    </row>
    <row r="31" ht="14.25" customHeight="1">
      <c r="A31" s="1" t="s">
        <v>68</v>
      </c>
      <c r="B31" s="1">
        <f>COUNTIF('Visit Tracker'!C:C,A31)</f>
        <v>14</v>
      </c>
      <c r="C31" s="1">
        <f>COUNTIFS('Visit Tracker'!C:C,A31,'Visit Tracker'!F:F,"Yes")</f>
        <v>1</v>
      </c>
      <c r="D31" s="1">
        <f t="shared" si="1"/>
        <v>13</v>
      </c>
    </row>
    <row r="32" ht="14.25" customHeight="1">
      <c r="A32" s="1" t="s">
        <v>119</v>
      </c>
      <c r="B32" s="1">
        <f>COUNTIF('Visit Tracker'!C:C,A32)</f>
        <v>10</v>
      </c>
      <c r="C32" s="1">
        <f>COUNTIFS('Visit Tracker'!C:C,A32,'Visit Tracker'!F:F,"Yes")</f>
        <v>0</v>
      </c>
      <c r="D32" s="1">
        <f t="shared" si="1"/>
        <v>10</v>
      </c>
    </row>
    <row r="33" ht="14.25" customHeight="1">
      <c r="A33" s="1" t="s">
        <v>122</v>
      </c>
      <c r="B33" s="1">
        <f>COUNTIF('Visit Tracker'!C:C,A33)</f>
        <v>11</v>
      </c>
      <c r="C33" s="1">
        <f>COUNTIFS('Visit Tracker'!C:C,A33,'Visit Tracker'!F:F,"Yes")</f>
        <v>0</v>
      </c>
      <c r="D33" s="1">
        <f t="shared" si="1"/>
        <v>11</v>
      </c>
    </row>
    <row r="34" ht="14.25" customHeight="1">
      <c r="A34" s="1" t="s">
        <v>124</v>
      </c>
      <c r="B34" s="1">
        <f>COUNTIF('Visit Tracker'!C:C,A34)</f>
        <v>11</v>
      </c>
      <c r="C34" s="1">
        <f>COUNTIFS('Visit Tracker'!C:C,A34,'Visit Tracker'!F:F,"Yes")</f>
        <v>1</v>
      </c>
      <c r="D34" s="1">
        <f t="shared" si="1"/>
        <v>10</v>
      </c>
    </row>
    <row r="35" ht="14.25" customHeight="1">
      <c r="A35" s="1" t="s">
        <v>127</v>
      </c>
      <c r="B35" s="1">
        <f>COUNTIF('Visit Tracker'!C:C,A35)</f>
        <v>12</v>
      </c>
      <c r="C35" s="1">
        <f>COUNTIFS('Visit Tracker'!C:C,A35,'Visit Tracker'!F:F,"Yes")</f>
        <v>0</v>
      </c>
      <c r="D35" s="1">
        <f t="shared" si="1"/>
        <v>12</v>
      </c>
    </row>
    <row r="36" ht="14.25" customHeight="1">
      <c r="A36" s="1" t="s">
        <v>130</v>
      </c>
      <c r="B36" s="1">
        <f>COUNTIF('Visit Tracker'!C:C,A36)</f>
        <v>12</v>
      </c>
      <c r="C36" s="1">
        <f>COUNTIFS('Visit Tracker'!C:C,A36,'Visit Tracker'!F:F,"Yes")</f>
        <v>0</v>
      </c>
      <c r="D36" s="1">
        <f t="shared" si="1"/>
        <v>12</v>
      </c>
    </row>
    <row r="37" ht="14.25" customHeight="1">
      <c r="A37" s="1" t="s">
        <v>132</v>
      </c>
      <c r="B37" s="1">
        <f>COUNTIF('Visit Tracker'!C:C,A37)</f>
        <v>12</v>
      </c>
      <c r="C37" s="1">
        <f>COUNTIFS('Visit Tracker'!C:C,A37,'Visit Tracker'!F:F,"Yes")</f>
        <v>0</v>
      </c>
      <c r="D37" s="1">
        <f t="shared" si="1"/>
        <v>12</v>
      </c>
    </row>
    <row r="38" ht="14.25" customHeight="1">
      <c r="A38" s="1" t="s">
        <v>135</v>
      </c>
      <c r="B38" s="1">
        <f>COUNTIF('Visit Tracker'!C:C,A38)</f>
        <v>10</v>
      </c>
      <c r="C38" s="1">
        <f>COUNTIFS('Visit Tracker'!C:C,A38,'Visit Tracker'!F:F,"Yes")</f>
        <v>0</v>
      </c>
      <c r="D38" s="1">
        <f t="shared" si="1"/>
        <v>10</v>
      </c>
    </row>
    <row r="39" ht="14.25" customHeight="1">
      <c r="A39" s="1" t="s">
        <v>137</v>
      </c>
      <c r="B39" s="1">
        <f>COUNTIF('Visit Tracker'!C:C,A39)</f>
        <v>11</v>
      </c>
      <c r="C39" s="1">
        <f>COUNTIFS('Visit Tracker'!C:C,A39,'Visit Tracker'!F:F,"Yes")</f>
        <v>3</v>
      </c>
      <c r="D39" s="1">
        <f t="shared" si="1"/>
        <v>8</v>
      </c>
    </row>
    <row r="40" ht="14.25" customHeight="1">
      <c r="A40" s="1" t="s">
        <v>140</v>
      </c>
      <c r="B40" s="1">
        <f>COUNTIF('Visit Tracker'!C:C,A40)</f>
        <v>10</v>
      </c>
      <c r="C40" s="1">
        <f>COUNTIFS('Visit Tracker'!C:C,A40,'Visit Tracker'!F:F,"Yes")</f>
        <v>0</v>
      </c>
      <c r="D40" s="1">
        <f t="shared" si="1"/>
        <v>10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6" width="8.71"/>
  </cols>
  <sheetData>
    <row r="1" ht="14.25" customHeight="1">
      <c r="A1" s="3" t="s">
        <v>2</v>
      </c>
      <c r="B1" s="3" t="s">
        <v>3</v>
      </c>
      <c r="C1" s="3" t="s">
        <v>4</v>
      </c>
      <c r="D1" s="3" t="s">
        <v>6</v>
      </c>
    </row>
    <row r="2" ht="14.25" customHeight="1">
      <c r="A2" s="1" t="s">
        <v>9</v>
      </c>
      <c r="B2" s="1">
        <f>COUNTIF('Visit Tracker'!B:B,A2)</f>
        <v>7</v>
      </c>
      <c r="C2" s="1">
        <f>COUNTIFS('Visit Tracker'!B:B,A2,'Visit Tracker'!F:F,"Yes")</f>
        <v>0</v>
      </c>
      <c r="D2" s="1">
        <f t="shared" ref="D2:D14" si="1">B2-C2</f>
        <v>7</v>
      </c>
    </row>
    <row r="3" ht="14.25" customHeight="1">
      <c r="A3" s="1" t="s">
        <v>11</v>
      </c>
      <c r="B3" s="1">
        <f>COUNTIF('Visit Tracker'!B:B,A3)</f>
        <v>13</v>
      </c>
      <c r="C3" s="1">
        <f>COUNTIFS('Visit Tracker'!B:B,A3,'Visit Tracker'!F:F,"Yes")</f>
        <v>0</v>
      </c>
      <c r="D3" s="1">
        <f t="shared" si="1"/>
        <v>13</v>
      </c>
    </row>
    <row r="4" ht="14.25" customHeight="1">
      <c r="A4" s="1" t="s">
        <v>17</v>
      </c>
      <c r="B4" s="1">
        <f>COUNTIF('Visit Tracker'!B:B,A4)</f>
        <v>14</v>
      </c>
      <c r="C4" s="1">
        <f>COUNTIFS('Visit Tracker'!B:B,A4,'Visit Tracker'!F:F,"Yes")</f>
        <v>1</v>
      </c>
      <c r="D4" s="1">
        <f t="shared" si="1"/>
        <v>13</v>
      </c>
    </row>
    <row r="5" ht="14.25" customHeight="1">
      <c r="A5" s="1" t="s">
        <v>25</v>
      </c>
      <c r="B5" s="1">
        <f>COUNTIF('Visit Tracker'!B:B,A5)</f>
        <v>36</v>
      </c>
      <c r="C5" s="1">
        <f>COUNTIFS('Visit Tracker'!B:B,A5,'Visit Tracker'!F:F,"Yes")</f>
        <v>0</v>
      </c>
      <c r="D5" s="1">
        <f t="shared" si="1"/>
        <v>36</v>
      </c>
    </row>
    <row r="6" ht="14.25" customHeight="1">
      <c r="A6" s="1" t="s">
        <v>27</v>
      </c>
      <c r="B6" s="1">
        <f>COUNTIF('Visit Tracker'!B:B,A6)</f>
        <v>45</v>
      </c>
      <c r="C6" s="1">
        <f>COUNTIFS('Visit Tracker'!B:B,A6,'Visit Tracker'!F:F,"Yes")</f>
        <v>0</v>
      </c>
      <c r="D6" s="1">
        <f t="shared" si="1"/>
        <v>45</v>
      </c>
    </row>
    <row r="7" ht="14.25" customHeight="1">
      <c r="A7" s="1" t="s">
        <v>30</v>
      </c>
      <c r="B7" s="1">
        <f>COUNTIF('Visit Tracker'!B:B,A7)</f>
        <v>37</v>
      </c>
      <c r="C7" s="1">
        <f>COUNTIFS('Visit Tracker'!B:B,A7,'Visit Tracker'!F:F,"Yes")</f>
        <v>0</v>
      </c>
      <c r="D7" s="1">
        <f t="shared" si="1"/>
        <v>37</v>
      </c>
    </row>
    <row r="8" ht="14.25" customHeight="1">
      <c r="A8" s="1" t="s">
        <v>32</v>
      </c>
      <c r="B8" s="1">
        <f>COUNTIF('Visit Tracker'!B:B,A8)</f>
        <v>41</v>
      </c>
      <c r="C8" s="1">
        <f>COUNTIFS('Visit Tracker'!B:B,A8,'Visit Tracker'!F:F,"Yes")</f>
        <v>12</v>
      </c>
      <c r="D8" s="1">
        <f t="shared" si="1"/>
        <v>29</v>
      </c>
    </row>
    <row r="9" ht="14.25" customHeight="1">
      <c r="A9" s="1" t="s">
        <v>36</v>
      </c>
      <c r="B9" s="1">
        <f>COUNTIF('Visit Tracker'!B:B,A9)</f>
        <v>47</v>
      </c>
      <c r="C9" s="1">
        <f>COUNTIFS('Visit Tracker'!B:B,A9,'Visit Tracker'!F:F,"Yes")</f>
        <v>6</v>
      </c>
      <c r="D9" s="1">
        <f t="shared" si="1"/>
        <v>41</v>
      </c>
    </row>
    <row r="10" ht="14.25" customHeight="1">
      <c r="A10" s="1" t="s">
        <v>39</v>
      </c>
      <c r="B10" s="1">
        <f>COUNTIF('Visit Tracker'!B:B,A10)</f>
        <v>35</v>
      </c>
      <c r="C10" s="1">
        <f>COUNTIFS('Visit Tracker'!B:B,A10,'Visit Tracker'!F:F,"Yes")</f>
        <v>4</v>
      </c>
      <c r="D10" s="1">
        <f t="shared" si="1"/>
        <v>31</v>
      </c>
    </row>
    <row r="11" ht="14.25" customHeight="1">
      <c r="A11" s="1" t="s">
        <v>42</v>
      </c>
      <c r="B11" s="1">
        <f>COUNTIF('Visit Tracker'!B:B,A11)</f>
        <v>43</v>
      </c>
      <c r="C11" s="1">
        <f>COUNTIFS('Visit Tracker'!B:B,A11,'Visit Tracker'!F:F,"Yes")</f>
        <v>0</v>
      </c>
      <c r="D11" s="1">
        <f t="shared" si="1"/>
        <v>43</v>
      </c>
    </row>
    <row r="12" ht="14.25" customHeight="1">
      <c r="A12" s="1" t="s">
        <v>46</v>
      </c>
      <c r="B12" s="1">
        <f>COUNTIF('Visit Tracker'!B:B,A12)</f>
        <v>38</v>
      </c>
      <c r="C12" s="1">
        <f>COUNTIFS('Visit Tracker'!B:B,A12,'Visit Tracker'!F:F,"Yes")</f>
        <v>13</v>
      </c>
      <c r="D12" s="1">
        <f t="shared" si="1"/>
        <v>25</v>
      </c>
    </row>
    <row r="13" ht="14.25" customHeight="1">
      <c r="A13" s="1" t="s">
        <v>50</v>
      </c>
      <c r="B13" s="1">
        <f>COUNTIF('Visit Tracker'!B:B,A13)</f>
        <v>40</v>
      </c>
      <c r="C13" s="1">
        <f>COUNTIFS('Visit Tracker'!B:B,A13,'Visit Tracker'!F:F,"Yes")</f>
        <v>1</v>
      </c>
      <c r="D13" s="1">
        <f t="shared" si="1"/>
        <v>39</v>
      </c>
    </row>
    <row r="14" ht="14.25" customHeight="1">
      <c r="A14" s="1" t="s">
        <v>54</v>
      </c>
      <c r="B14" s="1">
        <f>COUNTIF('Visit Tracker'!B:B,A14)</f>
        <v>35</v>
      </c>
      <c r="C14" s="1">
        <f>COUNTIFS('Visit Tracker'!B:B,A14,'Visit Tracker'!F:F,"Yes")</f>
        <v>0</v>
      </c>
      <c r="D14" s="1">
        <f t="shared" si="1"/>
        <v>35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